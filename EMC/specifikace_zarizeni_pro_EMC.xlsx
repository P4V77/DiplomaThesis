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fikace zařízení" sheetId="1" state="visible" r:id="rId2"/>
    <sheet name="Seznamy" sheetId="2" state="visible" r:id="rId3"/>
  </sheets>
  <definedNames>
    <definedName function="false" hidden="false" localSheetId="0" name="_xlnm.Print_Area" vbProcedure="false">'Specifikace zařízení'!$B$1:$E$35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<sst xmlns="http://schemas.openxmlformats.org/spreadsheetml/2006/main" count="204" uniqueCount="137">
  <si>
    <r>
      <rPr>
        <b val="true"/>
        <sz val="12"/>
        <color rgb="FF000000"/>
        <rFont val="Times New Roman"/>
        <family val="1"/>
        <charset val="238"/>
      </rPr>
      <t xml:space="preserve">ETL - Elektrotechnická laboratoř, akreditovaná zkušební laboratoř dle ČSN EN ISO/IEC 17025:2018
</t>
    </r>
    <r>
      <rPr>
        <b val="true"/>
        <i val="true"/>
        <sz val="9"/>
        <color rgb="FF000000"/>
        <rFont val="Times New Roman"/>
        <family val="1"/>
        <charset val="238"/>
      </rPr>
      <t xml:space="preserve">ETL - Electrical Laboratory, accredited by ČIA according to ČSN EN ISO/IEC 17025:2018</t>
    </r>
  </si>
  <si>
    <t xml:space="preserve">tab_2022/01</t>
  </si>
  <si>
    <r>
      <rPr>
        <b val="true"/>
        <sz val="12"/>
        <color rgb="FF000000"/>
        <rFont val="Times New Roman"/>
        <family val="1"/>
        <charset val="238"/>
      </rPr>
      <t xml:space="preserve">Specifikace zařízení pro zkoušky elektromagnetické kompatibility
</t>
    </r>
    <r>
      <rPr>
        <b val="true"/>
        <i val="true"/>
        <sz val="9"/>
        <color rgb="FF000000"/>
        <rFont val="Times New Roman"/>
        <family val="1"/>
        <charset val="238"/>
      </rPr>
      <t xml:space="preserve">Specifications of tested subject for EMC tests</t>
    </r>
  </si>
  <si>
    <r>
      <rPr>
        <sz val="12"/>
        <color rgb="FF000000"/>
        <rFont val="Times New Roman"/>
        <family val="1"/>
        <charset val="238"/>
      </rPr>
      <t xml:space="preserve">Prosíme o doplnění tabulky (žlutá pole). U některých položek je vytvořen rozbalovací seznam pro rychlejší vyplnění, případně jsou předvyplněny vzorovým příkladem. 
</t>
    </r>
    <r>
      <rPr>
        <i val="true"/>
        <sz val="9"/>
        <color rgb="FF000000"/>
        <rFont val="Times New Roman"/>
        <family val="1"/>
        <charset val="238"/>
      </rPr>
      <t xml:space="preserve">Please fill the table (yellow fields). A drop-down list is created for some items for faster completion, or some fields are pre-filled with a an example.</t>
    </r>
  </si>
  <si>
    <r>
      <rPr>
        <sz val="12"/>
        <color rgb="FF000000"/>
        <rFont val="Times New Roman"/>
        <family val="1"/>
        <charset val="238"/>
      </rPr>
      <t xml:space="preserve">Po vyplnění tabulek budeme schopni vytvořit adekvátní nabídku na Vaše zařízení.
</t>
    </r>
    <r>
      <rPr>
        <i val="true"/>
        <sz val="9"/>
        <color rgb="FF000000"/>
        <rFont val="Times New Roman"/>
        <family val="1"/>
        <charset val="238"/>
      </rPr>
      <t xml:space="preserve">We will be able to create an adequate offer for your device after filling of the tables.</t>
    </r>
  </si>
  <si>
    <r>
      <rPr>
        <sz val="12"/>
        <color rgb="FF000000"/>
        <rFont val="Times New Roman"/>
        <family val="1"/>
        <charset val="238"/>
      </rPr>
      <t xml:space="preserve">Poptávající: </t>
    </r>
    <r>
      <rPr>
        <i val="true"/>
        <sz val="9"/>
        <color rgb="FF000000"/>
        <rFont val="Times New Roman"/>
        <family val="1"/>
        <charset val="238"/>
      </rPr>
      <t xml:space="preserve">Costumer:</t>
    </r>
  </si>
  <si>
    <t xml:space="preserve">nextdrop s.r.o.</t>
  </si>
  <si>
    <r>
      <rPr>
        <sz val="12"/>
        <color rgb="FF000000"/>
        <rFont val="Times New Roman"/>
        <family val="1"/>
        <charset val="238"/>
      </rPr>
      <t xml:space="preserve">Adresa: 
</t>
    </r>
    <r>
      <rPr>
        <i val="true"/>
        <sz val="9"/>
        <color rgb="FF000000"/>
        <rFont val="Times New Roman"/>
        <family val="1"/>
        <charset val="238"/>
      </rPr>
      <t xml:space="preserve">Address:</t>
    </r>
  </si>
  <si>
    <t xml:space="preserve">Cukrovarská 3006/20, Jižní Předměstí, 301 00 Plzeň</t>
  </si>
  <si>
    <r>
      <rPr>
        <sz val="12"/>
        <color rgb="FF000000"/>
        <rFont val="Times New Roman"/>
        <family val="1"/>
        <charset val="238"/>
      </rPr>
      <t xml:space="preserve">IČ / DIČ: 
</t>
    </r>
    <r>
      <rPr>
        <i val="true"/>
        <sz val="9"/>
        <color rgb="FF000000"/>
        <rFont val="Times New Roman"/>
        <family val="1"/>
        <charset val="238"/>
      </rPr>
      <t xml:space="preserve">VAT number:</t>
    </r>
  </si>
  <si>
    <t xml:space="preserve">CZ</t>
  </si>
  <si>
    <r>
      <rPr>
        <sz val="12"/>
        <color rgb="FF000000"/>
        <rFont val="Times New Roman"/>
        <family val="1"/>
        <charset val="238"/>
      </rPr>
      <t xml:space="preserve">Název zařízení: 
</t>
    </r>
    <r>
      <rPr>
        <i val="true"/>
        <sz val="9"/>
        <color rgb="FF000000"/>
        <rFont val="Times New Roman"/>
        <family val="1"/>
        <charset val="238"/>
      </rPr>
      <t xml:space="preserve">Device name:</t>
    </r>
  </si>
  <si>
    <t xml:space="preserve">Řídící jednotka elektromagnetického ventilu </t>
  </si>
  <si>
    <r>
      <rPr>
        <sz val="12"/>
        <color rgb="FF000000"/>
        <rFont val="Times New Roman"/>
        <family val="1"/>
        <charset val="238"/>
      </rPr>
      <t xml:space="preserve">Sériové číslo</t>
    </r>
    <r>
      <rPr>
        <vertAlign val="superscript"/>
        <sz val="12"/>
        <color rgb="FF000000"/>
        <rFont val="Times New Roman"/>
        <family val="1"/>
        <charset val="238"/>
      </rPr>
      <t xml:space="preserve">*1)</t>
    </r>
    <r>
      <rPr>
        <sz val="12"/>
        <color rgb="FF000000"/>
        <rFont val="Times New Roman"/>
        <family val="1"/>
        <charset val="238"/>
      </rPr>
      <t xml:space="preserve">:
</t>
    </r>
    <r>
      <rPr>
        <i val="true"/>
        <sz val="9"/>
        <color rgb="FF000000"/>
        <rFont val="Times New Roman"/>
        <family val="1"/>
        <charset val="238"/>
      </rPr>
      <t xml:space="preserve">Serial number:</t>
    </r>
  </si>
  <si>
    <t xml:space="preserve">EMC prototyp 01</t>
  </si>
  <si>
    <r>
      <rPr>
        <sz val="12"/>
        <color rgb="FF000000"/>
        <rFont val="Times New Roman"/>
        <family val="1"/>
        <charset val="238"/>
      </rPr>
      <t xml:space="preserve">Verze HW:
</t>
    </r>
    <r>
      <rPr>
        <i val="true"/>
        <sz val="9"/>
        <color rgb="FF000000"/>
        <rFont val="Times New Roman"/>
        <family val="1"/>
        <charset val="238"/>
      </rPr>
      <t xml:space="preserve">HW version:</t>
    </r>
  </si>
  <si>
    <r>
      <rPr>
        <sz val="11"/>
        <color rgb="FF000000"/>
        <rFont val="Times New Roman"/>
        <family val="1"/>
        <charset val="1"/>
      </rPr>
      <t xml:space="preserve">MoSeZ </t>
    </r>
    <r>
      <rPr>
        <sz val="11"/>
        <color rgb="FF000000"/>
        <rFont val="Times New Roman"/>
        <family val="1"/>
        <charset val="238"/>
      </rPr>
      <t xml:space="preserve">2.0</t>
    </r>
  </si>
  <si>
    <r>
      <rPr>
        <sz val="12"/>
        <color rgb="FF000000"/>
        <rFont val="Times New Roman"/>
        <family val="1"/>
        <charset val="238"/>
      </rPr>
      <t xml:space="preserve">Verze FW / SW:
</t>
    </r>
    <r>
      <rPr>
        <i val="true"/>
        <sz val="9"/>
        <color rgb="FF000000"/>
        <rFont val="Times New Roman"/>
        <family val="1"/>
        <charset val="238"/>
      </rPr>
      <t xml:space="preserve">FW / SW version:</t>
    </r>
  </si>
  <si>
    <t xml:space="preserve">ARON 2.01</t>
  </si>
  <si>
    <r>
      <rPr>
        <vertAlign val="superscript"/>
        <sz val="12"/>
        <color rgb="FF000000"/>
        <rFont val="Times New Roman"/>
        <family val="1"/>
        <charset val="238"/>
      </rPr>
      <t xml:space="preserve">*1)</t>
    </r>
    <r>
      <rPr>
        <sz val="12"/>
        <color rgb="FF000000"/>
        <rFont val="Times New Roman"/>
        <family val="1"/>
        <charset val="238"/>
      </rPr>
      <t xml:space="preserve"> V případě, že zařízení nemá přiřazené sériové číslo, uveďte označení prototypu (např. EMC protoyp 01).
</t>
    </r>
    <r>
      <rPr>
        <i val="true"/>
        <sz val="9"/>
        <color rgb="FF000000"/>
        <rFont val="Times New Roman"/>
        <family val="1"/>
        <charset val="238"/>
      </rPr>
      <t xml:space="preserve">When the tested device doesn´t have a serial number, state the prototype number (f.e. EMC prototype 01).</t>
    </r>
  </si>
  <si>
    <r>
      <rPr>
        <sz val="12"/>
        <color rgb="FF000000"/>
        <rFont val="Times New Roman"/>
        <family val="1"/>
        <charset val="238"/>
      </rPr>
      <t xml:space="preserve">EMC měření:
</t>
    </r>
    <r>
      <rPr>
        <i val="true"/>
        <sz val="9"/>
        <color rgb="FF000000"/>
        <rFont val="Times New Roman"/>
        <family val="1"/>
        <charset val="238"/>
      </rPr>
      <t xml:space="preserve">EMC measurement:</t>
    </r>
  </si>
  <si>
    <t xml:space="preserve">certifikační /compliance</t>
  </si>
  <si>
    <r>
      <rPr>
        <sz val="12"/>
        <color rgb="FF000000"/>
        <rFont val="Times New Roman"/>
        <family val="1"/>
        <charset val="238"/>
      </rPr>
      <t xml:space="preserve">Protokol: 
</t>
    </r>
    <r>
      <rPr>
        <i val="true"/>
        <sz val="9"/>
        <color rgb="FF000000"/>
        <rFont val="Times New Roman"/>
        <family val="1"/>
        <charset val="238"/>
      </rPr>
      <t xml:space="preserve">Test report:</t>
    </r>
  </si>
  <si>
    <r>
      <rPr>
        <sz val="12"/>
        <color rgb="FF000000"/>
        <rFont val="Times New Roman"/>
        <family val="1"/>
        <charset val="238"/>
      </rPr>
      <t xml:space="preserve">Jazyk protokolu:
</t>
    </r>
    <r>
      <rPr>
        <i val="true"/>
        <sz val="9"/>
        <color rgb="FF000000"/>
        <rFont val="Times New Roman"/>
        <family val="1"/>
        <charset val="238"/>
      </rPr>
      <t xml:space="preserve">Test report language:</t>
    </r>
  </si>
  <si>
    <t xml:space="preserve">česky /Czech</t>
  </si>
  <si>
    <r>
      <rPr>
        <sz val="12"/>
        <color rgb="FF000000"/>
        <rFont val="Times New Roman"/>
        <family val="1"/>
        <charset val="238"/>
      </rPr>
      <t xml:space="preserve">Typ zařízení:
</t>
    </r>
    <r>
      <rPr>
        <i val="true"/>
        <sz val="9"/>
        <color rgb="FF000000"/>
        <rFont val="Times New Roman"/>
        <family val="1"/>
        <charset val="238"/>
      </rPr>
      <t xml:space="preserve">Device type:</t>
    </r>
  </si>
  <si>
    <t xml:space="preserve">Řídící jednotka pro ovládání elektromagnetických aktuátorů a ventilu</t>
  </si>
  <si>
    <r>
      <rPr>
        <sz val="12"/>
        <color rgb="FF000000"/>
        <rFont val="Times New Roman"/>
        <family val="1"/>
        <charset val="238"/>
      </rPr>
      <t xml:space="preserve">Určeno pro prostředí:
</t>
    </r>
    <r>
      <rPr>
        <i val="true"/>
        <sz val="9"/>
        <color rgb="FF000000"/>
        <rFont val="Times New Roman"/>
        <family val="1"/>
        <charset val="238"/>
      </rPr>
      <t xml:space="preserve">Intended for environment:</t>
    </r>
  </si>
  <si>
    <t xml:space="preserve">průmysl /industrial</t>
  </si>
  <si>
    <r>
      <rPr>
        <sz val="12"/>
        <color rgb="FF000000"/>
        <rFont val="Times New Roman"/>
        <family val="1"/>
        <charset val="238"/>
      </rPr>
      <t xml:space="preserve">Rozměry zařízení ŠxVxH:
</t>
    </r>
    <r>
      <rPr>
        <i val="true"/>
        <sz val="9"/>
        <color rgb="FF000000"/>
        <rFont val="Times New Roman"/>
        <family val="1"/>
        <charset val="238"/>
      </rPr>
      <t xml:space="preserve">Device dimension Equipment WxHxD:</t>
    </r>
  </si>
  <si>
    <r>
      <rPr>
        <sz val="12"/>
        <color rgb="FF000000"/>
        <rFont val="Times New Roman"/>
        <family val="1"/>
        <charset val="238"/>
      </rPr>
      <t xml:space="preserve">cca /</t>
    </r>
    <r>
      <rPr>
        <i val="true"/>
        <sz val="9"/>
        <color rgb="FF000000"/>
        <rFont val="Times New Roman"/>
        <family val="1"/>
        <charset val="238"/>
      </rPr>
      <t xml:space="preserve">approx </t>
    </r>
    <r>
      <rPr>
        <sz val="12"/>
        <color rgb="FF000000"/>
        <rFont val="Times New Roman"/>
        <family val="1"/>
        <charset val="238"/>
      </rPr>
      <t xml:space="preserve">0,062 x 0,076 x 0,018 m</t>
    </r>
  </si>
  <si>
    <r>
      <rPr>
        <sz val="12"/>
        <color rgb="FF000000"/>
        <rFont val="Times New Roman"/>
        <family val="1"/>
        <charset val="238"/>
      </rPr>
      <t xml:space="preserve">Hmotnost zařízení:
</t>
    </r>
    <r>
      <rPr>
        <i val="true"/>
        <sz val="9"/>
        <color rgb="FF000000"/>
        <rFont val="Times New Roman"/>
        <family val="1"/>
        <charset val="238"/>
      </rPr>
      <t xml:space="preserve">Device weight:</t>
    </r>
  </si>
  <si>
    <r>
      <rPr>
        <sz val="12"/>
        <color rgb="FF000000"/>
        <rFont val="Times New Roman"/>
        <family val="1"/>
        <charset val="238"/>
      </rPr>
      <t xml:space="preserve">cca /</t>
    </r>
    <r>
      <rPr>
        <i val="true"/>
        <sz val="9"/>
        <color rgb="FF000000"/>
        <rFont val="Times New Roman"/>
        <family val="1"/>
        <charset val="238"/>
      </rPr>
      <t xml:space="preserve">approx</t>
    </r>
    <r>
      <rPr>
        <sz val="12"/>
        <color rgb="FF000000"/>
        <rFont val="Times New Roman"/>
        <family val="1"/>
        <charset val="238"/>
      </rPr>
      <t xml:space="preserve"> 0,1 kg</t>
    </r>
  </si>
  <si>
    <r>
      <rPr>
        <sz val="12"/>
        <color rgb="FF000000"/>
        <rFont val="Times New Roman"/>
        <family val="1"/>
        <charset val="238"/>
      </rPr>
      <t xml:space="preserve">Napájení zařízení:
</t>
    </r>
    <r>
      <rPr>
        <i val="true"/>
        <sz val="9"/>
        <color rgb="FF000000"/>
        <rFont val="Times New Roman"/>
        <family val="1"/>
        <charset val="238"/>
      </rPr>
      <t xml:space="preserve">Powered from:</t>
    </r>
  </si>
  <si>
    <t xml:space="preserve">DC jiné /DC different</t>
  </si>
  <si>
    <r>
      <rPr>
        <sz val="12"/>
        <color rgb="FF000000"/>
        <rFont val="Times New Roman"/>
        <family val="1"/>
        <charset val="238"/>
      </rPr>
      <t xml:space="preserve">Specifikovaný AC/DC adaptér</t>
    </r>
    <r>
      <rPr>
        <vertAlign val="superscript"/>
        <sz val="12"/>
        <color rgb="FF000000"/>
        <rFont val="Times New Roman"/>
        <family val="1"/>
        <charset val="238"/>
      </rPr>
      <t xml:space="preserve">*2)</t>
    </r>
    <r>
      <rPr>
        <sz val="12"/>
        <color rgb="FF000000"/>
        <rFont val="Times New Roman"/>
        <family val="1"/>
        <charset val="238"/>
      </rPr>
      <t xml:space="preserve">:
</t>
    </r>
    <r>
      <rPr>
        <i val="true"/>
        <sz val="9"/>
        <color rgb="FF000000"/>
        <rFont val="Times New Roman"/>
        <family val="1"/>
        <charset val="238"/>
      </rPr>
      <t xml:space="preserve">Specified AC/DC adapter:</t>
    </r>
  </si>
  <si>
    <t xml:space="preserve">ano /yes</t>
  </si>
  <si>
    <r>
      <rPr>
        <sz val="12"/>
        <color rgb="FF000000"/>
        <rFont val="Times New Roman"/>
        <family val="1"/>
        <charset val="238"/>
      </rPr>
      <t xml:space="preserve">Typ specifikovaného AC/DC adaptéru</t>
    </r>
    <r>
      <rPr>
        <vertAlign val="superscript"/>
        <sz val="12"/>
        <color rgb="FF000000"/>
        <rFont val="Times New Roman"/>
        <family val="1"/>
        <charset val="238"/>
      </rPr>
      <t xml:space="preserve">*2)</t>
    </r>
    <r>
      <rPr>
        <sz val="12"/>
        <color rgb="FF000000"/>
        <rFont val="Times New Roman"/>
        <family val="1"/>
        <charset val="238"/>
      </rPr>
      <t xml:space="preserve">:
</t>
    </r>
    <r>
      <rPr>
        <i val="true"/>
        <sz val="9"/>
        <color rgb="FF000000"/>
        <rFont val="Times New Roman"/>
        <family val="1"/>
        <charset val="238"/>
      </rPr>
      <t xml:space="preserve">AC/DC adapter type:</t>
    </r>
  </si>
  <si>
    <t xml:space="preserve">AC/DC zdroj ~230/-48V</t>
  </si>
  <si>
    <r>
      <rPr>
        <sz val="12"/>
        <color rgb="FF000000"/>
        <rFont val="Times New Roman"/>
        <family val="1"/>
        <charset val="238"/>
      </rPr>
      <t xml:space="preserve">Maximální vnitřní pracovní kmitočet zařízení: 
</t>
    </r>
    <r>
      <rPr>
        <i val="true"/>
        <sz val="9"/>
        <color rgb="FF000000"/>
        <rFont val="Times New Roman"/>
        <family val="1"/>
        <charset val="238"/>
      </rPr>
      <t xml:space="preserve">Max. inner frequency of device:</t>
    </r>
  </si>
  <si>
    <t xml:space="preserve">&gt; 108 MHz</t>
  </si>
  <si>
    <r>
      <rPr>
        <sz val="12"/>
        <color rgb="FF000000"/>
        <rFont val="Times New Roman"/>
        <family val="1"/>
        <charset val="238"/>
      </rPr>
      <t xml:space="preserve">Možné provozní režimy:
</t>
    </r>
    <r>
      <rPr>
        <i val="true"/>
        <sz val="9"/>
        <color rgb="FF000000"/>
        <rFont val="Times New Roman"/>
        <family val="1"/>
        <charset val="238"/>
      </rPr>
      <t xml:space="preserve">Possible operating modes:</t>
    </r>
  </si>
  <si>
    <t xml:space="preserve">DC výstup, AC výstup s možným DC offsettem, (harmonický, trojúhelníkový a obdélníkový). Možné ukládání  příchozích povelů do paměti (spolu s časovým úsekem, po který by měli být platné) a jejich násedné uživatelem definované sekvenční vykonání v pořadí FIFO.  </t>
  </si>
  <si>
    <r>
      <rPr>
        <sz val="12"/>
        <color rgb="FF000000"/>
        <rFont val="Times New Roman"/>
        <family val="1"/>
        <charset val="238"/>
      </rPr>
      <t xml:space="preserve">Pomocná zařízení:
</t>
    </r>
    <r>
      <rPr>
        <i val="true"/>
        <sz val="9"/>
        <color rgb="FF000000"/>
        <rFont val="Times New Roman"/>
        <family val="1"/>
        <charset val="238"/>
      </rPr>
      <t xml:space="preserve">Auxiliary devices:</t>
    </r>
  </si>
  <si>
    <t xml:space="preserve">Převodník CAN FD na USB, případně USB na UART</t>
  </si>
  <si>
    <r>
      <rPr>
        <sz val="12"/>
        <color rgb="FF000000"/>
        <rFont val="Times New Roman"/>
        <family val="1"/>
        <charset val="238"/>
      </rPr>
      <t xml:space="preserve">Zařízení obsahuje magneticky citlivé komponenty:
</t>
    </r>
    <r>
      <rPr>
        <i val="true"/>
        <sz val="9"/>
        <color rgb="FF000000"/>
        <rFont val="Times New Roman"/>
        <family val="1"/>
        <charset val="238"/>
      </rPr>
      <t xml:space="preserve">The device contains magnetically sensitive components:</t>
    </r>
  </si>
  <si>
    <t xml:space="preserve">ne /no</t>
  </si>
  <si>
    <r>
      <rPr>
        <sz val="12"/>
        <color rgb="FF000000"/>
        <rFont val="Times New Roman"/>
        <family val="1"/>
        <charset val="238"/>
      </rPr>
      <t xml:space="preserve">Požadavky na posouzení shody výsledků dle norem
</t>
    </r>
    <r>
      <rPr>
        <sz val="10"/>
        <color rgb="FF000000"/>
        <rFont val="Times New Roman"/>
        <family val="1"/>
        <charset val="238"/>
      </rPr>
      <t xml:space="preserve">(vyberte, případně doplňte požadované):
</t>
    </r>
    <r>
      <rPr>
        <i val="true"/>
        <sz val="9"/>
        <color rgb="FF000000"/>
        <rFont val="Times New Roman"/>
        <family val="1"/>
        <charset val="238"/>
      </rPr>
      <t xml:space="preserve">Standards specification:</t>
    </r>
  </si>
  <si>
    <r>
      <rPr>
        <sz val="12"/>
        <color rgb="FF000000"/>
        <rFont val="Times New Roman"/>
        <family val="1"/>
        <charset val="238"/>
      </rPr>
      <t xml:space="preserve">emise:
</t>
    </r>
    <r>
      <rPr>
        <i val="true"/>
        <sz val="9"/>
        <color rgb="FF000000"/>
        <rFont val="Times New Roman"/>
        <family val="1"/>
        <charset val="238"/>
      </rPr>
      <t xml:space="preserve">emission:</t>
    </r>
  </si>
  <si>
    <t xml:space="preserve">ČSN EN 55011</t>
  </si>
  <si>
    <r>
      <rPr>
        <sz val="12"/>
        <color rgb="FF000000"/>
        <rFont val="Times New Roman"/>
        <family val="1"/>
        <charset val="238"/>
      </rPr>
      <t xml:space="preserve">odolnost:
</t>
    </r>
    <r>
      <rPr>
        <i val="true"/>
        <sz val="9"/>
        <color rgb="FF000000"/>
        <rFont val="Times New Roman"/>
        <family val="1"/>
        <charset val="238"/>
      </rPr>
      <t xml:space="preserve">susceptibility:</t>
    </r>
  </si>
  <si>
    <t xml:space="preserve">ČSN EN 61000-6-2</t>
  </si>
  <si>
    <r>
      <rPr>
        <vertAlign val="superscript"/>
        <sz val="12"/>
        <color rgb="FF000000"/>
        <rFont val="Times New Roman"/>
        <family val="1"/>
        <charset val="238"/>
      </rPr>
      <t xml:space="preserve">*2) </t>
    </r>
    <r>
      <rPr>
        <sz val="12"/>
        <color rgb="FF000000"/>
        <rFont val="Times New Roman"/>
        <family val="1"/>
        <charset val="238"/>
      </rPr>
      <t xml:space="preserve"> Pouze pro DC napájená zařízení. Pokud je specifikovaný AC/DC adaptér, je nutné jej dodat ke zkouškám EMC společně s testovaným zařízením.
</t>
    </r>
    <r>
      <rPr>
        <i val="true"/>
        <sz val="9"/>
        <color rgb="FF000000"/>
        <rFont val="Times New Roman"/>
        <family val="1"/>
        <charset val="238"/>
      </rPr>
      <t xml:space="preserve">For DC powered devices only. If an AC / DC adapter is specified, it must be provided for EMC testing with the tested device..</t>
    </r>
  </si>
  <si>
    <r>
      <rPr>
        <sz val="12"/>
        <color rgb="FF000000"/>
        <rFont val="Times New Roman"/>
        <family val="1"/>
        <charset val="238"/>
      </rPr>
      <t xml:space="preserve">Prosíme o doplnění možných rozhraní dle uvedených vzorů. Pokud je určena maximální délka připojeného kabelu a jeho typ, měl by být uveden v návodu použití výrobku.
</t>
    </r>
    <r>
      <rPr>
        <i val="true"/>
        <sz val="9"/>
        <color rgb="FF000000"/>
        <rFont val="Times New Roman"/>
        <family val="1"/>
        <charset val="238"/>
      </rPr>
      <t xml:space="preserve">Please fill all interfaces according to the given patterns. If the length of the connected cable and its type are specified, it should be stated in the product's manual.</t>
    </r>
  </si>
  <si>
    <r>
      <rPr>
        <sz val="12"/>
        <color rgb="FF000000"/>
        <rFont val="Times New Roman"/>
        <family val="1"/>
        <charset val="238"/>
      </rPr>
      <t xml:space="preserve">Po vyplnění také rovnou uvidíte (orientačně, platí pro zařízení do domácností / průmyslu), jaké testy by se měly na zařízení provést (ANO v zeleném poli). 
</t>
    </r>
    <r>
      <rPr>
        <i val="true"/>
        <sz val="9"/>
        <color rgb="FF000000"/>
        <rFont val="Times New Roman"/>
        <family val="1"/>
        <charset val="238"/>
      </rPr>
      <t xml:space="preserve">After filling all interfaces, you will also immediately see what tests should be performed on the device (ANO in the green field) (only for guidance, applies to household / industrial equipment)</t>
    </r>
  </si>
  <si>
    <r>
      <rPr>
        <sz val="12"/>
        <color rgb="FF000000"/>
        <rFont val="Times New Roman"/>
        <family val="1"/>
        <charset val="238"/>
      </rPr>
      <t xml:space="preserve">Rozhraní </t>
    </r>
    <r>
      <rPr>
        <i val="true"/>
        <sz val="9"/>
        <color rgb="FF000000"/>
        <rFont val="Times New Roman"/>
        <family val="1"/>
        <charset val="238"/>
      </rPr>
      <t xml:space="preserve">/Interface</t>
    </r>
  </si>
  <si>
    <r>
      <rPr>
        <sz val="12"/>
        <color rgb="FF000000"/>
        <rFont val="Times New Roman"/>
        <family val="1"/>
        <charset val="238"/>
      </rPr>
      <t xml:space="preserve">Testy odolnosti dle 61000-6-1 / 2 </t>
    </r>
    <r>
      <rPr>
        <i val="true"/>
        <sz val="9"/>
        <color rgb="FF000000"/>
        <rFont val="Times New Roman"/>
        <family val="1"/>
        <charset val="238"/>
      </rPr>
      <t xml:space="preserve">/susceptibility tests according to 61000-6-2 / 2</t>
    </r>
  </si>
  <si>
    <r>
      <rPr>
        <sz val="12"/>
        <color rgb="FF000000"/>
        <rFont val="Times New Roman"/>
        <family val="1"/>
        <charset val="238"/>
      </rPr>
      <t xml:space="preserve">Emise dle 61000-6-3 / 4 </t>
    </r>
    <r>
      <rPr>
        <i val="true"/>
        <sz val="9"/>
        <color rgb="FF000000"/>
        <rFont val="Times New Roman"/>
        <family val="1"/>
        <charset val="238"/>
      </rPr>
      <t xml:space="preserve">/emission </t>
    </r>
  </si>
  <si>
    <r>
      <rPr>
        <sz val="12"/>
        <color rgb="FF000000"/>
        <rFont val="Times New Roman"/>
        <family val="1"/>
        <charset val="238"/>
      </rPr>
      <t xml:space="preserve">Typ 
</t>
    </r>
    <r>
      <rPr>
        <i val="true"/>
        <sz val="9"/>
        <color rgb="FF000000"/>
        <rFont val="Times New Roman"/>
        <family val="1"/>
        <charset val="238"/>
      </rPr>
      <t xml:space="preserve">Type</t>
    </r>
  </si>
  <si>
    <r>
      <rPr>
        <sz val="12"/>
        <color rgb="FF000000"/>
        <rFont val="Times New Roman"/>
        <family val="1"/>
        <charset val="238"/>
      </rPr>
      <t xml:space="preserve">Označení
</t>
    </r>
    <r>
      <rPr>
        <i val="true"/>
        <sz val="9"/>
        <color rgb="FF000000"/>
        <rFont val="Times New Roman"/>
        <family val="1"/>
        <charset val="238"/>
      </rPr>
      <t xml:space="preserve">designation</t>
    </r>
  </si>
  <si>
    <r>
      <rPr>
        <sz val="12"/>
        <color rgb="FF000000"/>
        <rFont val="Times New Roman"/>
        <family val="1"/>
        <charset val="238"/>
      </rPr>
      <t xml:space="preserve">Délka rozhraní 
</t>
    </r>
    <r>
      <rPr>
        <i val="true"/>
        <sz val="9"/>
        <color rgb="FF000000"/>
        <rFont val="Times New Roman"/>
        <family val="1"/>
        <charset val="238"/>
      </rPr>
      <t xml:space="preserve">possible cable lenght</t>
    </r>
  </si>
  <si>
    <r>
      <rPr>
        <sz val="12"/>
        <color rgb="FF000000"/>
        <rFont val="Times New Roman"/>
        <family val="1"/>
        <charset val="238"/>
      </rPr>
      <t xml:space="preserve">Typ kabelu 
</t>
    </r>
    <r>
      <rPr>
        <i val="true"/>
        <sz val="9"/>
        <color rgb="FF000000"/>
        <rFont val="Times New Roman"/>
        <family val="1"/>
        <charset val="238"/>
      </rPr>
      <t xml:space="preserve">cable type</t>
    </r>
  </si>
  <si>
    <r>
      <rPr>
        <sz val="12"/>
        <color rgb="FF000000"/>
        <rFont val="Times New Roman"/>
        <family val="1"/>
        <charset val="238"/>
      </rPr>
      <t xml:space="preserve">Kabel připojený během měření </t>
    </r>
    <r>
      <rPr>
        <i val="true"/>
        <sz val="9"/>
        <color rgb="FF000000"/>
        <rFont val="Times New Roman"/>
        <family val="1"/>
        <charset val="238"/>
      </rPr>
      <t xml:space="preserve">Cable is connected during tests</t>
    </r>
  </si>
  <si>
    <t xml:space="preserve">61000-4-2</t>
  </si>
  <si>
    <t xml:space="preserve">61000-4-3</t>
  </si>
  <si>
    <t xml:space="preserve">61000-4-4</t>
  </si>
  <si>
    <t xml:space="preserve">61000-4-5</t>
  </si>
  <si>
    <t xml:space="preserve">61000-4-6</t>
  </si>
  <si>
    <t xml:space="preserve">61000-4-8</t>
  </si>
  <si>
    <t xml:space="preserve">61000-4-11</t>
  </si>
  <si>
    <t xml:space="preserve">61000-4-12</t>
  </si>
  <si>
    <t xml:space="preserve">61000-4-18</t>
  </si>
  <si>
    <r>
      <rPr>
        <sz val="12"/>
        <color rgb="FF000000"/>
        <rFont val="Times New Roman"/>
        <family val="1"/>
        <charset val="238"/>
      </rPr>
      <t xml:space="preserve">Vzduchem
</t>
    </r>
    <r>
      <rPr>
        <i val="true"/>
        <sz val="9"/>
        <color rgb="FF000000"/>
        <rFont val="Times New Roman"/>
        <family val="1"/>
        <charset val="238"/>
      </rPr>
      <t xml:space="preserve">radiated</t>
    </r>
  </si>
  <si>
    <r>
      <rPr>
        <sz val="12"/>
        <color rgb="FF000000"/>
        <rFont val="Times New Roman"/>
        <family val="1"/>
        <charset val="238"/>
      </rPr>
      <t xml:space="preserve">napěťově
</t>
    </r>
    <r>
      <rPr>
        <i val="true"/>
        <sz val="9"/>
        <color rgb="FF000000"/>
        <rFont val="Times New Roman"/>
        <family val="1"/>
        <charset val="238"/>
      </rPr>
      <t xml:space="preserve">conducted</t>
    </r>
  </si>
  <si>
    <r>
      <rPr>
        <sz val="12"/>
        <color rgb="FF000000"/>
        <rFont val="Times New Roman"/>
        <family val="1"/>
        <charset val="238"/>
      </rPr>
      <t xml:space="preserve">proudově
</t>
    </r>
    <r>
      <rPr>
        <i val="true"/>
        <sz val="9"/>
        <color rgb="FF000000"/>
        <rFont val="Times New Roman"/>
        <family val="1"/>
        <charset val="238"/>
      </rPr>
      <t xml:space="preserve">conducted</t>
    </r>
  </si>
  <si>
    <t xml:space="preserve">kryt</t>
  </si>
  <si>
    <t xml:space="preserve">–</t>
  </si>
  <si>
    <t xml:space="preserve">– </t>
  </si>
  <si>
    <t xml:space="preserve">ANO</t>
  </si>
  <si>
    <t xml:space="preserve">vstup DC 12 – 48 V</t>
  </si>
  <si>
    <t xml:space="preserve">&lt; 3 m</t>
  </si>
  <si>
    <t xml:space="preserve">nestíněný /unshielded</t>
  </si>
  <si>
    <t xml:space="preserve">vstup analogový ADC 1</t>
  </si>
  <si>
    <t xml:space="preserve">stíněný /shielded</t>
  </si>
  <si>
    <t xml:space="preserve">vstup analogový ADC 2</t>
  </si>
  <si>
    <t xml:space="preserve">RS232-2</t>
  </si>
  <si>
    <t xml:space="preserve">ano - servisní port /yes - service port</t>
  </si>
  <si>
    <t xml:space="preserve">výstup DC nebo AC max 10 A</t>
  </si>
  <si>
    <t xml:space="preserve">CAN</t>
  </si>
  <si>
    <t xml:space="preserve">&lt; 30 m (neopouští budovu) /not leave  building</t>
  </si>
  <si>
    <t xml:space="preserve">stíněný+kroucený pár /shielded twisted pair</t>
  </si>
  <si>
    <r>
      <rPr>
        <sz val="12"/>
        <color rgb="FF000000"/>
        <rFont val="Times New Roman"/>
        <family val="1"/>
        <charset val="238"/>
      </rPr>
      <t xml:space="preserve">* Pokud je specifikován AC/DC napájecí adaptér, poté je testováno na AC straně tohoto adaptéru
</t>
    </r>
    <r>
      <rPr>
        <i val="true"/>
        <sz val="9"/>
        <color rgb="FF000000"/>
        <rFont val="Times New Roman"/>
        <family val="1"/>
        <charset val="238"/>
      </rPr>
      <t xml:space="preserve">If the AC/DC adapter is specified, then the test is performed ad AC side of the adapter.</t>
    </r>
  </si>
  <si>
    <r>
      <rPr>
        <sz val="12"/>
        <color rgb="FF000000"/>
        <rFont val="Times New Roman"/>
        <family val="1"/>
        <charset val="238"/>
      </rPr>
      <t xml:space="preserve">V případě potřeby dalších rozhraní prosím zkopírujte řádky
</t>
    </r>
    <r>
      <rPr>
        <i val="true"/>
        <sz val="9"/>
        <color rgb="FF000000"/>
        <rFont val="Times New Roman"/>
        <family val="1"/>
        <charset val="238"/>
      </rPr>
      <t xml:space="preserve">If you need add next interfaces, please copy the lines</t>
    </r>
  </si>
  <si>
    <r>
      <rPr>
        <b val="true"/>
        <sz val="12"/>
        <color rgb="FF000000"/>
        <rFont val="Times New Roman"/>
        <family val="1"/>
        <charset val="238"/>
      </rPr>
      <t xml:space="preserve">Poznámka / doplňující informace pro laboratoř:
</t>
    </r>
    <r>
      <rPr>
        <b val="true"/>
        <i val="true"/>
        <sz val="9"/>
        <color rgb="FF000000"/>
        <rFont val="Times New Roman"/>
        <family val="1"/>
        <charset val="238"/>
      </rPr>
      <t xml:space="preserve">Note / additional information to the laboratory:</t>
    </r>
  </si>
  <si>
    <r>
      <rPr>
        <sz val="12"/>
        <color rgb="FF000000"/>
        <rFont val="Times New Roman"/>
        <family val="1"/>
        <charset val="238"/>
      </rPr>
      <t xml:space="preserve">Pokud byste chtěli upřesnit některé chybějící informace…
</t>
    </r>
    <r>
      <rPr>
        <i val="true"/>
        <sz val="9"/>
        <color rgb="FF000000"/>
        <rFont val="Times New Roman"/>
        <family val="1"/>
        <charset val="238"/>
      </rPr>
      <t xml:space="preserve">Sběrnice CAN je vyvedena nejen na stíněný kroucený pár, ale také na 4 pinový header, z důvodů možného skládání zdrojů do sebe. Jeden stíněný kabel připojuje proudový výstup k zátěži a případnou zpětnou vazbu (např poloha ventilu, apod.) ze zátěže na analogové konektory (ADC1, ADC2) zpět do zdroje.</t>
    </r>
  </si>
  <si>
    <t xml:space="preserve">délka</t>
  </si>
  <si>
    <t xml:space="preserve">typ</t>
  </si>
  <si>
    <t xml:space="preserve">nespecifikována /not specified</t>
  </si>
  <si>
    <t xml:space="preserve">nespecifikovaný /not specified</t>
  </si>
  <si>
    <t xml:space="preserve">obytné /residential</t>
  </si>
  <si>
    <t xml:space="preserve">nespecifikována</t>
  </si>
  <si>
    <t xml:space="preserve">AC 230 V (16 A zástrčka)</t>
  </si>
  <si>
    <r>
      <rPr>
        <sz val="12"/>
        <color rgb="FF000000"/>
        <rFont val="Times New Roman"/>
        <family val="1"/>
        <charset val="238"/>
      </rPr>
      <t xml:space="preserve">certifikační /</t>
    </r>
    <r>
      <rPr>
        <i val="true"/>
        <sz val="9"/>
        <color rgb="FF000000"/>
        <rFont val="Times New Roman"/>
        <family val="1"/>
        <charset val="238"/>
      </rPr>
      <t xml:space="preserve">compliance</t>
    </r>
  </si>
  <si>
    <r>
      <rPr>
        <sz val="12"/>
        <color rgb="FF000000"/>
        <rFont val="Times New Roman"/>
        <family val="1"/>
        <charset val="238"/>
      </rPr>
      <t xml:space="preserve">česky /</t>
    </r>
    <r>
      <rPr>
        <i val="true"/>
        <sz val="9"/>
        <color rgb="FF000000"/>
        <rFont val="Times New Roman"/>
        <family val="1"/>
        <charset val="238"/>
      </rPr>
      <t xml:space="preserve">Czech</t>
    </r>
  </si>
  <si>
    <t xml:space="preserve">ČSN EN 61000-6-1</t>
  </si>
  <si>
    <t xml:space="preserve">obytné, obchodní, lehký průmysl /residential, commercial and light-industrial</t>
  </si>
  <si>
    <t xml:space="preserve">&lt; 108 MHz</t>
  </si>
  <si>
    <t xml:space="preserve">AC 400 V (16 A, 4 kolíková zástrčka)</t>
  </si>
  <si>
    <r>
      <rPr>
        <sz val="12"/>
        <color rgb="FF000000"/>
        <rFont val="Times New Roman"/>
        <family val="1"/>
        <charset val="238"/>
      </rPr>
      <t xml:space="preserve">předcertifikační /</t>
    </r>
    <r>
      <rPr>
        <i val="true"/>
        <sz val="9"/>
        <color rgb="FF000000"/>
        <rFont val="Times New Roman"/>
        <family val="1"/>
        <charset val="238"/>
      </rPr>
      <t xml:space="preserve">pre-compliace</t>
    </r>
  </si>
  <si>
    <t xml:space="preserve">česky + anglicky /Czech + English</t>
  </si>
  <si>
    <t xml:space="preserve">ČSN EN 55014</t>
  </si>
  <si>
    <t xml:space="preserve">&lt; 3 m, připojené na dlouhé vedení /connected to long wire</t>
  </si>
  <si>
    <t xml:space="preserve">obchodní, lehký průmysl (profesionálně instalované) /commercial and light-industrial  (professionally installed)</t>
  </si>
  <si>
    <t xml:space="preserve">AC 400 V (16 A, 5 kolíková zástrčka)</t>
  </si>
  <si>
    <t xml:space="preserve">není DC napájení /no DC supply</t>
  </si>
  <si>
    <t xml:space="preserve">ČSN EN 55032</t>
  </si>
  <si>
    <t xml:space="preserve">ČSN EN 61000-6-5</t>
  </si>
  <si>
    <t xml:space="preserve">AC 400 V (32 A, 4 kolíková zástrčka)</t>
  </si>
  <si>
    <t xml:space="preserve">ČSN EN 61000-6-3</t>
  </si>
  <si>
    <t xml:space="preserve">ČSN EN 55014-2</t>
  </si>
  <si>
    <t xml:space="preserve">ne - servisní port /no - service port</t>
  </si>
  <si>
    <t xml:space="preserve">&gt; 30 m nebo opouští budovu /or leave building</t>
  </si>
  <si>
    <t xml:space="preserve">kroucený pár /twisted pair</t>
  </si>
  <si>
    <t xml:space="preserve">obytné + průmysl /residential + industrial</t>
  </si>
  <si>
    <t xml:space="preserve">AC 400 V (32 A, 5 kolíková zástrčka)</t>
  </si>
  <si>
    <t xml:space="preserve">ČSN EN 61000-6-4</t>
  </si>
  <si>
    <t xml:space="preserve">ČSN EN 55035</t>
  </si>
  <si>
    <t xml:space="preserve">jiný /other</t>
  </si>
  <si>
    <t xml:space="preserve">drážní /railway</t>
  </si>
  <si>
    <t xml:space="preserve">AC jiné /AC different</t>
  </si>
  <si>
    <t xml:space="preserve">ČSN EN 61000-6-8</t>
  </si>
  <si>
    <t xml:space="preserve">jiná: /other:</t>
  </si>
  <si>
    <t xml:space="preserve">automobilové /automotive</t>
  </si>
  <si>
    <t xml:space="preserve">DC 12 V</t>
  </si>
  <si>
    <t xml:space="preserve">jiné /other</t>
  </si>
  <si>
    <t xml:space="preserve">DC 24 V</t>
  </si>
  <si>
    <t xml:space="preserve">Bateriově napájené /Batteries powered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</si>
</sst>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6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238"/>
    </font>
    <font>
      <b val="true"/>
      <sz val="12"/>
      <color rgb="FF000000"/>
      <name val="Times New Roman"/>
      <family val="1"/>
      <charset val="238"/>
    </font>
    <font>
      <b val="true"/>
      <i val="true"/>
      <sz val="9"/>
      <color rgb="FF000000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sz val="12"/>
      <color rgb="FFFFFFFF"/>
      <name val="Times New Roman"/>
      <family val="1"/>
      <charset val="238"/>
    </font>
    <font>
      <i val="true"/>
      <sz val="9"/>
      <color rgb="FF000000"/>
      <name val="Times New Roman"/>
      <family val="1"/>
      <charset val="238"/>
    </font>
    <font>
      <sz val="11"/>
      <color rgb="FFFF0000"/>
      <name val="Calibri"/>
      <family val="2"/>
      <charset val="238"/>
    </font>
    <font>
      <sz val="11"/>
      <color rgb="FF000000"/>
      <name val="Times New Roman"/>
      <family val="1"/>
      <charset val="238"/>
    </font>
    <font>
      <vertAlign val="superscript"/>
      <sz val="12"/>
      <color rgb="FF000000"/>
      <name val="Times New Roman"/>
      <family val="1"/>
      <charset val="238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238"/>
    </font>
    <font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1" fillId="2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1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justify" vertical="center" textRotation="0" wrapText="true" indent="0" shrinkToFit="false"/>
      <protection locked="false" hidden="false"/>
    </xf>
    <xf numFmtId="164" fontId="4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justify" vertical="center" textRotation="0" wrapText="false" indent="0" shrinkToFit="false"/>
      <protection locked="false" hidden="false"/>
    </xf>
    <xf numFmtId="164" fontId="4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4" xfId="0" applyFont="true" applyBorder="true" applyAlignment="true" applyProtection="true">
      <alignment horizontal="justify" vertical="center" textRotation="0" wrapText="true" indent="0" shrinkToFit="false"/>
      <protection locked="fals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" fillId="2" borderId="5" xfId="0" applyFont="true" applyBorder="true" applyAlignment="true" applyProtection="true">
      <alignment horizontal="center" vertical="bottom" textRotation="0" wrapText="false" indent="0" shrinkToFit="true"/>
      <protection locked="fals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1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selection pane="topLeft" activeCell="E43" activeCellId="0" sqref="E43"/>
    </sheetView>
  </sheetViews>
  <sheetFormatPr defaultColWidth="9.12890625" defaultRowHeight="15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1" width="23.97"/>
    <col collapsed="false" customWidth="true" hidden="false" outlineLevel="0" max="3" min="3" style="1" width="10.12"/>
    <col collapsed="false" customWidth="true" hidden="false" outlineLevel="0" max="4" min="4" style="1" width="32.71"/>
    <col collapsed="false" customWidth="true" hidden="false" outlineLevel="0" max="5" min="5" style="1" width="20.14"/>
    <col collapsed="false" customWidth="true" hidden="false" outlineLevel="0" max="6" min="6" style="1" width="29.86"/>
    <col collapsed="false" customWidth="true" hidden="false" outlineLevel="0" max="7" min="7" style="1" width="11.57"/>
    <col collapsed="false" customWidth="true" hidden="false" outlineLevel="0" max="9" min="8" style="1" width="13.29"/>
    <col collapsed="false" customWidth="true" hidden="false" outlineLevel="0" max="12" min="10" style="1" width="11.57"/>
    <col collapsed="false" customWidth="true" hidden="false" outlineLevel="0" max="13" min="13" style="1" width="11.86"/>
    <col collapsed="false" customWidth="true" hidden="true" outlineLevel="0" max="14" min="14" style="1" width="12.86"/>
    <col collapsed="false" customWidth="true" hidden="true" outlineLevel="0" max="15" min="15" style="1" width="11.86"/>
    <col collapsed="false" customWidth="true" hidden="false" outlineLevel="0" max="16" min="16" style="1" width="10.99"/>
    <col collapsed="false" customWidth="true" hidden="false" outlineLevel="0" max="17" min="17" style="1" width="10.29"/>
    <col collapsed="false" customWidth="true" hidden="false" outlineLevel="0" max="18" min="18" style="1" width="10.12"/>
    <col collapsed="false" customWidth="false" hidden="false" outlineLevel="0" max="1024" min="19" style="1" width="9.13"/>
  </cols>
  <sheetData>
    <row r="1" customFormat="false" ht="28.5" hidden="false" customHeight="true" outlineLevel="0" collapsed="false">
      <c r="B1" s="2" t="s">
        <v>0</v>
      </c>
      <c r="C1" s="2"/>
      <c r="D1" s="2"/>
      <c r="E1" s="2"/>
      <c r="F1" s="2"/>
    </row>
    <row r="2" s="3" customFormat="true" ht="15" hidden="false" customHeight="false" outlineLevel="0" collapsed="false">
      <c r="B2" s="4" t="s">
        <v>1</v>
      </c>
    </row>
    <row r="3" customFormat="false" ht="28.5" hidden="false" customHeight="true" outlineLevel="0" collapsed="false">
      <c r="B3" s="2" t="s">
        <v>2</v>
      </c>
      <c r="C3" s="2"/>
      <c r="D3" s="2"/>
      <c r="E3" s="2"/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44.25" hidden="false" customHeight="true" outlineLevel="0" collapsed="false">
      <c r="B4" s="6" t="s">
        <v>3</v>
      </c>
      <c r="C4" s="6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28.5" hidden="false" customHeight="true" outlineLevel="0" collapsed="false">
      <c r="B5" s="7" t="s">
        <v>4</v>
      </c>
      <c r="C5" s="7"/>
      <c r="D5" s="7"/>
      <c r="E5" s="7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B6" s="8"/>
      <c r="C6" s="9"/>
      <c r="D6" s="9"/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</row>
    <row r="7" customFormat="false" ht="28.5" hidden="false" customHeight="true" outlineLevel="0" collapsed="false">
      <c r="B7" s="10" t="s">
        <v>5</v>
      </c>
      <c r="C7" s="11" t="s">
        <v>6</v>
      </c>
      <c r="D7" s="11"/>
      <c r="E7" s="11"/>
      <c r="F7" s="1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28.5" hidden="false" customHeight="true" outlineLevel="0" collapsed="false">
      <c r="B8" s="12" t="s">
        <v>7</v>
      </c>
      <c r="C8" s="13" t="s">
        <v>8</v>
      </c>
      <c r="D8" s="13"/>
      <c r="E8" s="13"/>
      <c r="F8" s="1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customFormat="false" ht="24.05" hidden="false" customHeight="false" outlineLevel="0" collapsed="false">
      <c r="B9" s="12" t="s">
        <v>9</v>
      </c>
      <c r="C9" s="14" t="n">
        <v>10818065</v>
      </c>
      <c r="D9" s="14"/>
      <c r="E9" s="15" t="s">
        <v>10</v>
      </c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24.05" hidden="false" customHeight="false" outlineLevel="0" collapsed="false">
      <c r="B10" s="12" t="s">
        <v>11</v>
      </c>
      <c r="C10" s="15" t="s">
        <v>12</v>
      </c>
      <c r="D10" s="15"/>
      <c r="E10" s="15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24.05" hidden="false" customHeight="false" outlineLevel="0" collapsed="false">
      <c r="B11" s="12" t="s">
        <v>13</v>
      </c>
      <c r="C11" s="15" t="s">
        <v>14</v>
      </c>
      <c r="D11" s="15"/>
      <c r="E11" s="15"/>
      <c r="F11" s="1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24.05" hidden="false" customHeight="false" outlineLevel="0" collapsed="false">
      <c r="B12" s="12" t="s">
        <v>15</v>
      </c>
      <c r="C12" s="16" t="s">
        <v>16</v>
      </c>
      <c r="D12" s="16"/>
      <c r="E12" s="16"/>
      <c r="F12" s="1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24.05" hidden="false" customHeight="false" outlineLevel="0" collapsed="false">
      <c r="B13" s="12" t="s">
        <v>17</v>
      </c>
      <c r="C13" s="15" t="s">
        <v>18</v>
      </c>
      <c r="D13" s="15"/>
      <c r="E13" s="15"/>
      <c r="F13" s="1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30" hidden="false" customHeight="true" outlineLevel="0" collapsed="false">
      <c r="B14" s="17" t="s">
        <v>19</v>
      </c>
      <c r="C14" s="17"/>
      <c r="D14" s="17"/>
      <c r="E14" s="17"/>
      <c r="F14" s="17"/>
      <c r="G14" s="1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5" hidden="false" customHeight="false" outlineLevel="0" collapsed="false">
      <c r="B15" s="19"/>
      <c r="C15" s="20"/>
      <c r="D15" s="20"/>
      <c r="E15" s="20"/>
      <c r="F15" s="2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24.05" hidden="false" customHeight="false" outlineLevel="0" collapsed="false">
      <c r="B16" s="10" t="s">
        <v>20</v>
      </c>
      <c r="C16" s="21" t="s">
        <v>21</v>
      </c>
      <c r="D16" s="21"/>
      <c r="E16" s="21"/>
      <c r="F16" s="2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24.05" hidden="false" customHeight="false" outlineLevel="0" collapsed="false">
      <c r="B17" s="12" t="s">
        <v>22</v>
      </c>
      <c r="C17" s="22" t="str">
        <f aca="false">IF(C16="předcertifikační /pre-compliace","ne (pouze případné záznamy z měření) /no (only measurement records)","ano /yes")</f>
        <v>ano /yes</v>
      </c>
      <c r="D17" s="22"/>
      <c r="E17" s="22"/>
      <c r="F17" s="2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24.05" hidden="false" customHeight="false" outlineLevel="0" collapsed="false">
      <c r="B18" s="23" t="s">
        <v>23</v>
      </c>
      <c r="C18" s="24" t="s">
        <v>24</v>
      </c>
      <c r="D18" s="24"/>
      <c r="E18" s="24"/>
      <c r="F18" s="2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6.5" hidden="false" customHeight="true" outlineLevel="0" collapsed="false">
      <c r="C19" s="19"/>
      <c r="D19" s="19"/>
      <c r="E19" s="25"/>
      <c r="F19" s="25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="6" customFormat="true" ht="28.5" hidden="false" customHeight="true" outlineLevel="0" collapsed="false">
      <c r="B20" s="26" t="s">
        <v>25</v>
      </c>
      <c r="C20" s="26"/>
      <c r="D20" s="26"/>
      <c r="E20" s="27" t="s">
        <v>26</v>
      </c>
      <c r="F20" s="2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28.5" hidden="false" customHeight="true" outlineLevel="0" collapsed="false">
      <c r="B21" s="28" t="s">
        <v>27</v>
      </c>
      <c r="C21" s="28"/>
      <c r="D21" s="28"/>
      <c r="E21" s="29" t="s">
        <v>28</v>
      </c>
      <c r="F21" s="2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customFormat="false" ht="28.5" hidden="false" customHeight="true" outlineLevel="0" collapsed="false">
      <c r="B22" s="28" t="s">
        <v>29</v>
      </c>
      <c r="C22" s="28"/>
      <c r="D22" s="28"/>
      <c r="E22" s="29" t="s">
        <v>30</v>
      </c>
      <c r="F22" s="2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customFormat="false" ht="28.5" hidden="false" customHeight="true" outlineLevel="0" collapsed="false">
      <c r="B23" s="28" t="s">
        <v>31</v>
      </c>
      <c r="C23" s="28"/>
      <c r="D23" s="28"/>
      <c r="E23" s="29" t="s">
        <v>32</v>
      </c>
      <c r="F23" s="2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customFormat="false" ht="28.5" hidden="false" customHeight="true" outlineLevel="0" collapsed="false">
      <c r="B24" s="28" t="s">
        <v>33</v>
      </c>
      <c r="C24" s="28"/>
      <c r="D24" s="28"/>
      <c r="E24" s="30" t="s">
        <v>34</v>
      </c>
      <c r="F24" s="30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customFormat="false" ht="28.5" hidden="false" customHeight="true" outlineLevel="0" collapsed="false">
      <c r="B25" s="31"/>
      <c r="C25" s="32" t="s">
        <v>35</v>
      </c>
      <c r="D25" s="32"/>
      <c r="E25" s="33" t="s">
        <v>36</v>
      </c>
      <c r="F25" s="3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customFormat="false" ht="28.5" hidden="false" customHeight="true" outlineLevel="0" collapsed="false">
      <c r="B26" s="31"/>
      <c r="C26" s="32" t="s">
        <v>37</v>
      </c>
      <c r="D26" s="32"/>
      <c r="E26" s="33" t="s">
        <v>38</v>
      </c>
      <c r="F26" s="33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customFormat="false" ht="28.5" hidden="false" customHeight="true" outlineLevel="0" collapsed="false">
      <c r="B27" s="28" t="s">
        <v>39</v>
      </c>
      <c r="C27" s="28"/>
      <c r="D27" s="28"/>
      <c r="E27" s="29" t="s">
        <v>40</v>
      </c>
      <c r="F27" s="2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customFormat="false" ht="28.5" hidden="false" customHeight="true" outlineLevel="0" collapsed="false">
      <c r="B28" s="28" t="s">
        <v>41</v>
      </c>
      <c r="C28" s="28"/>
      <c r="D28" s="28"/>
      <c r="E28" s="34" t="s">
        <v>42</v>
      </c>
      <c r="F28" s="3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customFormat="false" ht="28.5" hidden="false" customHeight="true" outlineLevel="0" collapsed="false">
      <c r="B29" s="28" t="s">
        <v>43</v>
      </c>
      <c r="C29" s="28"/>
      <c r="D29" s="28"/>
      <c r="E29" s="34" t="s">
        <v>44</v>
      </c>
      <c r="F29" s="3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customFormat="false" ht="28.5" hidden="false" customHeight="true" outlineLevel="0" collapsed="false">
      <c r="B30" s="28" t="s">
        <v>45</v>
      </c>
      <c r="C30" s="28"/>
      <c r="D30" s="28"/>
      <c r="E30" s="29" t="s">
        <v>46</v>
      </c>
      <c r="F30" s="2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customFormat="false" ht="16.5" hidden="false" customHeight="true" outlineLevel="0" collapsed="false">
      <c r="B31" s="35" t="s">
        <v>47</v>
      </c>
      <c r="C31" s="35"/>
      <c r="D31" s="36" t="s">
        <v>48</v>
      </c>
      <c r="E31" s="30" t="s">
        <v>49</v>
      </c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customFormat="false" ht="16.5" hidden="false" customHeight="true" outlineLevel="0" collapsed="false">
      <c r="B32" s="35"/>
      <c r="C32" s="35"/>
      <c r="D32" s="36"/>
      <c r="E32" s="30"/>
      <c r="F32" s="30"/>
      <c r="G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customFormat="false" ht="16.5" hidden="false" customHeight="true" outlineLevel="0" collapsed="false">
      <c r="B33" s="35"/>
      <c r="C33" s="35"/>
      <c r="D33" s="36" t="s">
        <v>50</v>
      </c>
      <c r="E33" s="30" t="s">
        <v>51</v>
      </c>
      <c r="F33" s="30"/>
      <c r="G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customFormat="false" ht="21" hidden="false" customHeight="true" outlineLevel="0" collapsed="false">
      <c r="B34" s="35"/>
      <c r="C34" s="35"/>
      <c r="D34" s="36"/>
      <c r="E34" s="30"/>
      <c r="F34" s="30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="37" customFormat="true" ht="48.75" hidden="false" customHeight="true" outlineLevel="0" collapsed="false">
      <c r="B35" s="38" t="s">
        <v>52</v>
      </c>
      <c r="C35" s="38"/>
      <c r="D35" s="38"/>
      <c r="E35" s="38"/>
      <c r="F35" s="38"/>
    </row>
    <row r="36" s="37" customFormat="true" ht="16.5" hidden="false" customHeight="true" outlineLevel="0" collapsed="false">
      <c r="B36" s="39"/>
      <c r="C36" s="39"/>
      <c r="D36" s="39"/>
    </row>
    <row r="37" s="37" customFormat="true" ht="29.25" hidden="false" customHeight="true" outlineLevel="0" collapsed="false">
      <c r="B37" s="40" t="s">
        <v>53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</row>
    <row r="38" customFormat="false" ht="28.5" hidden="false" customHeight="true" outlineLevel="0" collapsed="false">
      <c r="B38" s="41" t="s">
        <v>54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</row>
    <row r="39" customFormat="false" ht="15" hidden="false" customHeight="false" outlineLevel="0" collapsed="false">
      <c r="B39" s="42" t="s">
        <v>55</v>
      </c>
      <c r="C39" s="42"/>
      <c r="D39" s="42"/>
      <c r="E39" s="42"/>
      <c r="F39" s="43"/>
      <c r="G39" s="44" t="s">
        <v>56</v>
      </c>
      <c r="H39" s="44"/>
      <c r="I39" s="44"/>
      <c r="J39" s="44"/>
      <c r="K39" s="44"/>
      <c r="L39" s="44"/>
      <c r="M39" s="44"/>
      <c r="N39" s="45"/>
      <c r="O39" s="45"/>
      <c r="P39" s="46" t="s">
        <v>57</v>
      </c>
      <c r="Q39" s="46"/>
      <c r="R39" s="46"/>
    </row>
    <row r="40" customFormat="false" ht="24.05" hidden="false" customHeight="false" outlineLevel="0" collapsed="false">
      <c r="B40" s="47" t="s">
        <v>58</v>
      </c>
      <c r="C40" s="48" t="s">
        <v>59</v>
      </c>
      <c r="D40" s="48" t="s">
        <v>60</v>
      </c>
      <c r="E40" s="48" t="s">
        <v>61</v>
      </c>
      <c r="F40" s="48" t="s">
        <v>62</v>
      </c>
      <c r="G40" s="49" t="s">
        <v>63</v>
      </c>
      <c r="H40" s="49" t="s">
        <v>64</v>
      </c>
      <c r="I40" s="49" t="s">
        <v>65</v>
      </c>
      <c r="J40" s="49" t="s">
        <v>66</v>
      </c>
      <c r="K40" s="49" t="s">
        <v>67</v>
      </c>
      <c r="L40" s="49" t="s">
        <v>68</v>
      </c>
      <c r="M40" s="49" t="s">
        <v>69</v>
      </c>
      <c r="N40" s="49" t="s">
        <v>70</v>
      </c>
      <c r="O40" s="49" t="s">
        <v>71</v>
      </c>
      <c r="P40" s="50" t="s">
        <v>72</v>
      </c>
      <c r="Q40" s="50" t="s">
        <v>73</v>
      </c>
      <c r="R40" s="51" t="s">
        <v>74</v>
      </c>
    </row>
    <row r="41" customFormat="false" ht="15" hidden="false" customHeight="false" outlineLevel="0" collapsed="false">
      <c r="B41" s="52" t="s">
        <v>75</v>
      </c>
      <c r="C41" s="53" t="s">
        <v>76</v>
      </c>
      <c r="D41" s="54" t="s">
        <v>76</v>
      </c>
      <c r="E41" s="54" t="s">
        <v>76</v>
      </c>
      <c r="F41" s="53" t="s">
        <v>77</v>
      </c>
      <c r="G41" s="55" t="s">
        <v>78</v>
      </c>
      <c r="H41" s="55" t="s">
        <v>78</v>
      </c>
      <c r="I41" s="43" t="s">
        <v>76</v>
      </c>
      <c r="J41" s="56" t="s">
        <v>76</v>
      </c>
      <c r="K41" s="56" t="s">
        <v>76</v>
      </c>
      <c r="L41" s="56" t="str">
        <f aca="false">IF(E30="ano /yes","ANO","NE")</f>
        <v>NE</v>
      </c>
      <c r="M41" s="56" t="s">
        <v>76</v>
      </c>
      <c r="N41" s="56"/>
      <c r="O41" s="56"/>
      <c r="P41" s="56" t="s">
        <v>78</v>
      </c>
      <c r="Q41" s="56" t="s">
        <v>76</v>
      </c>
      <c r="R41" s="57" t="s">
        <v>76</v>
      </c>
    </row>
    <row r="42" customFormat="false" ht="15" hidden="false" customHeight="false" outlineLevel="0" collapsed="false">
      <c r="B42" s="58" t="s">
        <v>79</v>
      </c>
      <c r="C42" s="59"/>
      <c r="D42" s="60" t="s">
        <v>80</v>
      </c>
      <c r="E42" s="60" t="s">
        <v>81</v>
      </c>
      <c r="F42" s="61" t="s">
        <v>36</v>
      </c>
      <c r="G42" s="62" t="s">
        <v>76</v>
      </c>
      <c r="H42" s="62" t="s">
        <v>76</v>
      </c>
      <c r="I42" s="43" t="str">
        <f aca="false">IF(AND(ISBLANK(B42),ISBLANK(C42)),"",IF(ISNUMBER(SEARCH("ne",F42)),"NE",IF(AND(ISNUMBER(SEARCH("vstup",B42)),ISNUMBER(SEARCH("ano",$E$25)),ISNUMBER(SEARCH("DC",B42)),ISNUMBER(SEARCH("DC",$E$24))),"ANO*",IF(OR(D42="&lt; 3 m, připojené na dlouhé vedení /connected to long wire",D42="&gt; 30 m nebo opouští budovu /or leave building",D42="&lt; 30 m (neopouští budovu) /not leave  building",D42="nespecifikována /not specified", ISNUMBER(SEARCH("230",B42)),ISNUMBER(SEARCH("AC",B42))),"ANO","NE"))))</f>
        <v>ANO*</v>
      </c>
      <c r="J42" s="63" t="str">
        <f aca="false">IF(AND(ISBLANK(B42),ISBLANK(C42)),"",IF(ISNUMBER(SEARCH("ne",F42)),"NE",IF(AND(ISNUMBER(SEARCH("vstup",B42)),ISNUMBER(SEARCH("ano",$E$25)),ISNUMBER(SEARCH("DC",B42)),ISNUMBER(SEARCH("DC",$E$24))),"ANO*",IF(OR(D42="&lt; 3 m, připojené na dlouhé vedení /connected to long wire",D42="&gt; 30 m nebo opouští budovu /or leave building",D42="nespecifikována /not specified", ISNUMBER(SEARCH("230",B42)), ISNUMBER(SEARCH("AC",B42))),"ANO","NE"))))</f>
        <v>ANO*</v>
      </c>
      <c r="K42" s="43" t="str">
        <f aca="false">IF(AND(ISBLANK(B42),ISBLANK(C42)),"",IF(ISNUMBER(SEARCH("ne",F42)),"NE",IF(AND(ISNUMBER(SEARCH("vstup",B42)),ISNUMBER(SEARCH("ano",$E$25)),ISNUMBER(SEARCH("DC",B42)),ISNUMBER(SEARCH("DC",$E$24))),"ANO*",IF(OR(D42="&lt; 3 m, připojené na dlouhé vedení /connected to long wire",D42="&gt; 30 m nebo opouští budovu /or leave building",D42="&lt; 30 m (neopouští budovu) /not leave  building",D42="nespecifikována /not specified", ISNUMBER(SEARCH("230",B42)),ISNUMBER(SEARCH("AC",B42))),"ANO","NE"))))</f>
        <v>ANO*</v>
      </c>
      <c r="L42" s="43" t="s">
        <v>76</v>
      </c>
      <c r="M42" s="43" t="str">
        <f aca="false">IF(AND(ISBLANK(B42),ISBLANK(C42)),"",IF(ISNUMBER(SEARCH("ne",F42)),"NE",IF(ISNUMBER(SEARCH("230",B42)),"ANO","NE")))</f>
        <v>NE</v>
      </c>
      <c r="N42" s="43"/>
      <c r="O42" s="43"/>
      <c r="P42" s="43" t="s">
        <v>76</v>
      </c>
      <c r="Q42" s="43" t="str">
        <f aca="false">IF(AND(ISBLANK(B42),ISBLANK(C42)),"",IF(OR(ISNUMBER(SEARCH("230",B42)),ISNUMBER(SEARCH("AC",B42)),ISNUMBER(SEARCH("DC",B42))),"ANO","NE"))</f>
        <v>ANO</v>
      </c>
      <c r="R42" s="64" t="str">
        <f aca="false">IF(AND(ISBLANK(B42),ISBLANK(C42)),"",IF(ISNUMBER(SEARCH("ne",F42)),"NE",IF(OR(ISNUMBER(SEARCH("230",B42)),ISNUMBER(SEARCH("AC",B42)),ISNUMBER(SEARCH("DC",B42)),B42=""),"NE","ANO")))</f>
        <v>NE</v>
      </c>
    </row>
    <row r="43" customFormat="false" ht="15" hidden="false" customHeight="false" outlineLevel="0" collapsed="false">
      <c r="B43" s="58" t="s">
        <v>82</v>
      </c>
      <c r="C43" s="59"/>
      <c r="D43" s="60" t="s">
        <v>80</v>
      </c>
      <c r="E43" s="60" t="s">
        <v>83</v>
      </c>
      <c r="F43" s="61" t="s">
        <v>36</v>
      </c>
      <c r="G43" s="62" t="s">
        <v>76</v>
      </c>
      <c r="H43" s="62" t="s">
        <v>76</v>
      </c>
      <c r="I43" s="43" t="str">
        <f aca="false">IF(AND(ISBLANK(B43),ISBLANK(C43)),"",IF(ISNUMBER(SEARCH("ne",F43)),"NE",IF(AND(ISNUMBER(SEARCH("vstup",B43)),ISNUMBER(SEARCH("ano",$E$25)),ISNUMBER(SEARCH("DC",B43)),ISNUMBER(SEARCH("DC",$E$24))),"ANO*",IF(OR(D43="&lt; 3 m, připojené na dlouhé vedení /connected to long wire",D43="&gt; 30 m nebo opouští budovu /or leave building",D43="&lt; 30 m (neopouští budovu) /not leave  building",D43="nespecifikována /not specified", ISNUMBER(SEARCH("230",B43)),ISNUMBER(SEARCH("AC",B43))),"ANO","NE"))))</f>
        <v>ANO*</v>
      </c>
      <c r="J43" s="63" t="str">
        <f aca="false">IF(AND(ISBLANK(B43),ISBLANK(C43)),"",IF(ISNUMBER(SEARCH("ne",F43)),"NE",IF(AND(ISNUMBER(SEARCH("vstup",B43)),ISNUMBER(SEARCH("ano",$E$25)),ISNUMBER(SEARCH("DC",B43)),ISNUMBER(SEARCH("DC",$E$24))),"ANO*",IF(OR(D43="&lt; 3 m, připojené na dlouhé vedení /connected to long wire",D43="&gt; 30 m nebo opouští budovu /or leave building",D43="nespecifikována /not specified", ISNUMBER(SEARCH("230",B43)), ISNUMBER(SEARCH("AC",B43))),"ANO","NE"))))</f>
        <v>ANO*</v>
      </c>
      <c r="K43" s="43" t="str">
        <f aca="false">IF(AND(ISBLANK(B43),ISBLANK(C43)),"",IF(ISNUMBER(SEARCH("ne",F43)),"NE",IF(AND(ISNUMBER(SEARCH("vstup",B43)),ISNUMBER(SEARCH("ano",$E$25)),ISNUMBER(SEARCH("DC",B43)),ISNUMBER(SEARCH("DC",$E$24))),"ANO*",IF(OR(D43="&lt; 3 m, připojené na dlouhé vedení /connected to long wire",D43="&gt; 30 m nebo opouští budovu /or leave building",D43="&lt; 30 m (neopouští budovu) /not leave  building",D43="nespecifikována /not specified", ISNUMBER(SEARCH("230",B43)),ISNUMBER(SEARCH("AC",B43))),"ANO","NE"))))</f>
        <v>ANO*</v>
      </c>
      <c r="L43" s="43" t="s">
        <v>76</v>
      </c>
      <c r="M43" s="43" t="str">
        <f aca="false">IF(AND(ISBLANK(B43),ISBLANK(C43)),"",IF(ISNUMBER(SEARCH("ne",F43)),"NE",IF(ISNUMBER(SEARCH("230",B43)),"ANO","NE")))</f>
        <v>NE</v>
      </c>
      <c r="N43" s="43"/>
      <c r="O43" s="43"/>
      <c r="P43" s="43" t="s">
        <v>76</v>
      </c>
      <c r="Q43" s="43" t="str">
        <f aca="false">IF(AND(ISBLANK(B43),ISBLANK(C43)),"",IF(OR(ISNUMBER(SEARCH("230",B43)),ISNUMBER(SEARCH("AC",B43)),ISNUMBER(SEARCH("DC",B43))),"ANO","NE"))</f>
        <v>ANO</v>
      </c>
      <c r="R43" s="64" t="str">
        <f aca="false">IF(AND(ISBLANK(B43),ISBLANK(C43)),"",IF(ISNUMBER(SEARCH("ne",F43)),"NE",IF(OR(ISNUMBER(SEARCH("230",B43)),ISNUMBER(SEARCH("AC",B43)),ISNUMBER(SEARCH("DC",B43)),B43=""),"NE","ANO")))</f>
        <v>NE</v>
      </c>
    </row>
    <row r="44" customFormat="false" ht="15" hidden="false" customHeight="false" outlineLevel="0" collapsed="false">
      <c r="B44" s="65" t="s">
        <v>84</v>
      </c>
      <c r="C44" s="59"/>
      <c r="D44" s="60" t="s">
        <v>80</v>
      </c>
      <c r="E44" s="60" t="s">
        <v>83</v>
      </c>
      <c r="F44" s="61" t="s">
        <v>46</v>
      </c>
      <c r="G44" s="62" t="s">
        <v>76</v>
      </c>
      <c r="H44" s="62" t="s">
        <v>76</v>
      </c>
      <c r="I44" s="43" t="str">
        <f aca="false">IF(AND(ISBLANK(B44),ISBLANK(C44)),"",IF(ISNUMBER(SEARCH("ne",F44)),"NE",IF(AND(ISNUMBER(SEARCH("vstup",B44)),ISNUMBER(SEARCH("ano",$E$25)),ISNUMBER(SEARCH("DC",B44)),ISNUMBER(SEARCH("DC",$E$24))),"ANO*",IF(OR(D44="&lt; 3 m, připojené na dlouhé vedení /connected to long wire",D44="&gt; 30 m nebo opouští budovu /or leave building",D44="&lt; 30 m (neopouští budovu) /not leave  building",D44="nespecifikována /not specified", ISNUMBER(SEARCH("230",B44)),ISNUMBER(SEARCH("AC",B44))),"ANO","NE"))))</f>
        <v>NE</v>
      </c>
      <c r="J44" s="63" t="str">
        <f aca="false">IF(AND(ISBLANK(B44),ISBLANK(C44)),"",IF(ISNUMBER(SEARCH("ne",F44)),"NE",IF(AND(ISNUMBER(SEARCH("vstup",B44)),ISNUMBER(SEARCH("ano",$E$25)),ISNUMBER(SEARCH("DC",B44)),ISNUMBER(SEARCH("DC",$E$24))),"ANO*",IF(OR(D44="&lt; 3 m, připojené na dlouhé vedení /connected to long wire",D44="&gt; 30 m nebo opouští budovu /or leave building",D44="nespecifikována /not specified", ISNUMBER(SEARCH("230",B44)), ISNUMBER(SEARCH("AC",B44))),"ANO","NE"))))</f>
        <v>NE</v>
      </c>
      <c r="K44" s="43" t="str">
        <f aca="false">IF(AND(ISBLANK(B44),ISBLANK(C44)),"",IF(ISNUMBER(SEARCH("ne",F44)),"NE",IF(AND(ISNUMBER(SEARCH("vstup",B44)),ISNUMBER(SEARCH("ano",$E$25)),ISNUMBER(SEARCH("DC",B44)),ISNUMBER(SEARCH("DC",$E$24))),"ANO*",IF(OR(D44="&lt; 3 m, připojené na dlouhé vedení /connected to long wire",D44="&gt; 30 m nebo opouští budovu /or leave building",D44="&lt; 30 m (neopouští budovu) /not leave  building",D44="nespecifikována /not specified", ISNUMBER(SEARCH("230",B44)),ISNUMBER(SEARCH("AC",B44))),"ANO","NE"))))</f>
        <v>NE</v>
      </c>
      <c r="L44" s="43" t="s">
        <v>76</v>
      </c>
      <c r="M44" s="43" t="str">
        <f aca="false">IF(AND(ISBLANK(B44),ISBLANK(C44)),"",IF(ISNUMBER(SEARCH("ne",F44)),"NE",IF(ISNUMBER(SEARCH("230",B44)),"ANO","NE")))</f>
        <v>NE</v>
      </c>
      <c r="N44" s="43"/>
      <c r="O44" s="43"/>
      <c r="P44" s="43" t="s">
        <v>76</v>
      </c>
      <c r="Q44" s="43" t="str">
        <f aca="false">IF(AND(ISBLANK(B44),ISBLANK(C44)),"",IF(OR(ISNUMBER(SEARCH("230",B44)),ISNUMBER(SEARCH("AC",B44)),ISNUMBER(SEARCH("DC",B44))),"ANO","NE"))</f>
        <v>ANO</v>
      </c>
      <c r="R44" s="64" t="str">
        <f aca="false">IF(AND(ISBLANK(B44),ISBLANK(C44)),"",IF(ISNUMBER(SEARCH("ne",F44)),"NE",IF(OR(ISNUMBER(SEARCH("230",B44)),ISNUMBER(SEARCH("AC",B44)),ISNUMBER(SEARCH("DC",B44)),B44=""),"NE","ANO")))</f>
        <v>NE</v>
      </c>
    </row>
    <row r="45" customFormat="false" ht="15" hidden="false" customHeight="false" outlineLevel="0" collapsed="false">
      <c r="B45" s="58" t="s">
        <v>85</v>
      </c>
      <c r="C45" s="59" t="s">
        <v>76</v>
      </c>
      <c r="D45" s="60" t="s">
        <v>80</v>
      </c>
      <c r="E45" s="60" t="s">
        <v>81</v>
      </c>
      <c r="F45" s="61" t="s">
        <v>86</v>
      </c>
      <c r="G45" s="62" t="s">
        <v>76</v>
      </c>
      <c r="H45" s="62" t="s">
        <v>76</v>
      </c>
      <c r="I45" s="43" t="str">
        <f aca="false">IF(AND(ISBLANK(B45),ISBLANK(C45)),"",IF(ISNUMBER(SEARCH("ne",F45)),"NE",IF(AND(ISNUMBER(SEARCH("vstup",B45)),ISNUMBER(SEARCH("ano",$E$25)),ISNUMBER(SEARCH("DC",B45)),ISNUMBER(SEARCH("DC",$E$24))),"ANO*",IF(OR(D45="&lt; 3 m, připojené na dlouhé vedení /connected to long wire",D45="&gt; 30 m nebo opouští budovu /or leave building",D45="&lt; 30 m (neopouští budovu) /not leave  building",D45="nespecifikována /not specified", ISNUMBER(SEARCH("230",B45)),ISNUMBER(SEARCH("AC",B45))),"ANO","NE"))))</f>
        <v>NE</v>
      </c>
      <c r="J45" s="63" t="str">
        <f aca="false">IF(AND(ISBLANK(B45),ISBLANK(C45)),"",IF(ISNUMBER(SEARCH("ne",F45)),"NE",IF(AND(ISNUMBER(SEARCH("vstup",B45)),ISNUMBER(SEARCH("ano",$E$25)),ISNUMBER(SEARCH("DC",B45)),ISNUMBER(SEARCH("DC",$E$24))),"ANO*",IF(OR(D45="&lt; 3 m, připojené na dlouhé vedení /connected to long wire",D45="&gt; 30 m nebo opouští budovu /or leave building",D45="nespecifikována /not specified", ISNUMBER(SEARCH("230",B45)), ISNUMBER(SEARCH("AC",B45))),"ANO","NE"))))</f>
        <v>NE</v>
      </c>
      <c r="K45" s="43" t="str">
        <f aca="false">IF(AND(ISBLANK(B45),ISBLANK(C45)),"",IF(ISNUMBER(SEARCH("ne",F45)),"NE",IF(AND(ISNUMBER(SEARCH("vstup",B45)),ISNUMBER(SEARCH("ano",$E$25)),ISNUMBER(SEARCH("DC",B45)),ISNUMBER(SEARCH("DC",$E$24))),"ANO*",IF(OR(D45="&lt; 3 m, připojené na dlouhé vedení /connected to long wire",D45="&gt; 30 m nebo opouští budovu /or leave building",D45="&lt; 30 m (neopouští budovu) /not leave  building",D45="nespecifikována /not specified", ISNUMBER(SEARCH("230",B45)),ISNUMBER(SEARCH("AC",B45))),"ANO","NE"))))</f>
        <v>NE</v>
      </c>
      <c r="L45" s="43" t="s">
        <v>76</v>
      </c>
      <c r="M45" s="43" t="str">
        <f aca="false">IF(AND(ISBLANK(B45),ISBLANK(C45)),"",IF(ISNUMBER(SEARCH("ne",F45)),"NE",IF(ISNUMBER(SEARCH("230",B45)),"ANO","NE")))</f>
        <v>NE</v>
      </c>
      <c r="N45" s="43"/>
      <c r="O45" s="43"/>
      <c r="P45" s="43" t="s">
        <v>76</v>
      </c>
      <c r="Q45" s="43" t="str">
        <f aca="false">IF(AND(ISBLANK(B45),ISBLANK(C45)),"",IF(OR(ISNUMBER(SEARCH("230",B45)),ISNUMBER(SEARCH("AC",B45)),ISNUMBER(SEARCH("DC",B45))),"ANO","NE"))</f>
        <v>NE</v>
      </c>
      <c r="R45" s="64" t="str">
        <f aca="false">IF(AND(ISBLANK(B45),ISBLANK(C45)),"",IF(ISNUMBER(SEARCH("ne",F45)),"NE",IF(OR(ISNUMBER(SEARCH("230",B45)),ISNUMBER(SEARCH("AC",B45)),ISNUMBER(SEARCH("DC",B45)),B45=""),"NE","ANO")))</f>
        <v>ANO</v>
      </c>
    </row>
    <row r="46" customFormat="false" ht="15" hidden="false" customHeight="false" outlineLevel="0" collapsed="false">
      <c r="B46" s="58" t="s">
        <v>87</v>
      </c>
      <c r="C46" s="59"/>
      <c r="D46" s="60" t="s">
        <v>80</v>
      </c>
      <c r="E46" s="60" t="s">
        <v>83</v>
      </c>
      <c r="F46" s="61" t="s">
        <v>36</v>
      </c>
      <c r="G46" s="62" t="s">
        <v>76</v>
      </c>
      <c r="H46" s="62" t="s">
        <v>76</v>
      </c>
      <c r="I46" s="43" t="str">
        <f aca="false">IF(AND(ISBLANK(B46),ISBLANK(C46)),"",IF(ISNUMBER(SEARCH("ne",F46)),"NE",IF(AND(ISNUMBER(SEARCH("vstup",B46)),ISNUMBER(SEARCH("ano",$E$25)),ISNUMBER(SEARCH("DC",B46)),ISNUMBER(SEARCH("DC",$E$24))),"ANO*",IF(OR(D46="&lt; 3 m, připojené na dlouhé vedení /connected to long wire",D46="&gt; 30 m nebo opouští budovu /or leave building",D46="&lt; 30 m (neopouští budovu) /not leave  building",D46="nespecifikována /not specified", ISNUMBER(SEARCH("230",B46)),ISNUMBER(SEARCH("AC",B46))),"ANO","NE"))))</f>
        <v>ANO</v>
      </c>
      <c r="J46" s="63" t="str">
        <f aca="false">IF(AND(ISBLANK(B46),ISBLANK(C46)),"",IF(ISNUMBER(SEARCH("ne",F46)),"NE",IF(AND(ISNUMBER(SEARCH("vstup",B46)),ISNUMBER(SEARCH("ano",$E$25)),ISNUMBER(SEARCH("DC",B46)),ISNUMBER(SEARCH("DC",$E$24))),"ANO*",IF(OR(D46="&lt; 3 m, připojené na dlouhé vedení /connected to long wire",D46="&gt; 30 m nebo opouští budovu /or leave building",D46="nespecifikována /not specified", ISNUMBER(SEARCH("230",B46)), ISNUMBER(SEARCH("AC",B46))),"ANO","NE"))))</f>
        <v>ANO</v>
      </c>
      <c r="K46" s="43" t="str">
        <f aca="false">IF(AND(ISBLANK(B46),ISBLANK(C46)),"",IF(ISNUMBER(SEARCH("ne",F46)),"NE",IF(AND(ISNUMBER(SEARCH("vstup",B46)),ISNUMBER(SEARCH("ano",$E$25)),ISNUMBER(SEARCH("DC",B46)),ISNUMBER(SEARCH("DC",$E$24))),"ANO*",IF(OR(D46="&lt; 3 m, připojené na dlouhé vedení /connected to long wire",D46="&gt; 30 m nebo opouští budovu /or leave building",D46="&lt; 30 m (neopouští budovu) /not leave  building",D46="nespecifikována /not specified", ISNUMBER(SEARCH("230",B46)),ISNUMBER(SEARCH("AC",B46))),"ANO","NE"))))</f>
        <v>ANO</v>
      </c>
      <c r="L46" s="43" t="s">
        <v>76</v>
      </c>
      <c r="M46" s="43" t="str">
        <f aca="false">IF(AND(ISBLANK(B46),ISBLANK(C46)),"",IF(ISNUMBER(SEARCH("ne",F46)),"NE",IF(ISNUMBER(SEARCH("230",B46)),"ANO","NE")))</f>
        <v>NE</v>
      </c>
      <c r="N46" s="43"/>
      <c r="O46" s="43"/>
      <c r="P46" s="43" t="s">
        <v>76</v>
      </c>
      <c r="Q46" s="43" t="str">
        <f aca="false">IF(AND(ISBLANK(B46),ISBLANK(C46)),"",IF(OR(ISNUMBER(SEARCH("230",B46)),ISNUMBER(SEARCH("AC",B46)),ISNUMBER(SEARCH("DC",B46))),"ANO","NE"))</f>
        <v>ANO</v>
      </c>
      <c r="R46" s="64" t="str">
        <f aca="false">IF(AND(ISBLANK(B46),ISBLANK(C46)),"",IF(ISNUMBER(SEARCH("ne",F46)),"NE",IF(OR(ISNUMBER(SEARCH("230",B46)),ISNUMBER(SEARCH("AC",B46)),ISNUMBER(SEARCH("DC",B46)),B46=""),"NE","ANO")))</f>
        <v>NE</v>
      </c>
    </row>
    <row r="47" customFormat="false" ht="15" hidden="false" customHeight="false" outlineLevel="0" collapsed="false">
      <c r="B47" s="58" t="s">
        <v>88</v>
      </c>
      <c r="C47" s="59"/>
      <c r="D47" s="60" t="s">
        <v>89</v>
      </c>
      <c r="E47" s="60" t="s">
        <v>90</v>
      </c>
      <c r="F47" s="61" t="s">
        <v>36</v>
      </c>
      <c r="G47" s="62" t="s">
        <v>76</v>
      </c>
      <c r="H47" s="62" t="s">
        <v>76</v>
      </c>
      <c r="I47" s="43" t="str">
        <f aca="false">IF(AND(ISBLANK(B47),ISBLANK(C47)),"",IF(ISNUMBER(SEARCH("ne",F47)),"NE",IF(AND(ISNUMBER(SEARCH("vstup",B47)),ISNUMBER(SEARCH("ano",$E$25)),ISNUMBER(SEARCH("DC",B47)),ISNUMBER(SEARCH("DC",$E$24))),"ANO*",IF(OR(D47="&lt; 3 m, připojené na dlouhé vedení /connected to long wire",D47="&gt; 30 m nebo opouští budovu /or leave building",D47="&lt; 30 m (neopouští budovu) /not leave  building",D47="nespecifikována /not specified", ISNUMBER(SEARCH("230",B47)),ISNUMBER(SEARCH("AC",B47))),"ANO","NE"))))</f>
        <v>ANO</v>
      </c>
      <c r="J47" s="63" t="str">
        <f aca="false">IF(AND(ISBLANK(B47),ISBLANK(C47)),"",IF(ISNUMBER(SEARCH("ne",F47)),"NE",IF(AND(ISNUMBER(SEARCH("vstup",B47)),ISNUMBER(SEARCH("ano",$E$25)),ISNUMBER(SEARCH("DC",B47)),ISNUMBER(SEARCH("DC",$E$24))),"ANO*",IF(OR(D47="&lt; 3 m, připojené na dlouhé vedení /connected to long wire",D47="&gt; 30 m nebo opouští budovu /or leave building",D47="nespecifikována /not specified", ISNUMBER(SEARCH("230",B47)), ISNUMBER(SEARCH("AC",B47))),"ANO","NE"))))</f>
        <v>NE</v>
      </c>
      <c r="K47" s="43" t="str">
        <f aca="false">IF(AND(ISBLANK(B47),ISBLANK(C47)),"",IF(ISNUMBER(SEARCH("ne",F47)),"NE",IF(AND(ISNUMBER(SEARCH("vstup",B47)),ISNUMBER(SEARCH("ano",$E$25)),ISNUMBER(SEARCH("DC",B47)),ISNUMBER(SEARCH("DC",$E$24))),"ANO*",IF(OR(D47="&lt; 3 m, připojené na dlouhé vedení /connected to long wire",D47="&gt; 30 m nebo opouští budovu /or leave building",D47="&lt; 30 m (neopouští budovu) /not leave  building",D47="nespecifikována /not specified", ISNUMBER(SEARCH("230",B47)),ISNUMBER(SEARCH("AC",B47))),"ANO","NE"))))</f>
        <v>ANO</v>
      </c>
      <c r="L47" s="43" t="s">
        <v>76</v>
      </c>
      <c r="M47" s="43" t="str">
        <f aca="false">IF(AND(ISBLANK(B47),ISBLANK(C47)),"",IF(ISNUMBER(SEARCH("ne",F47)),"NE",IF(ISNUMBER(SEARCH("230",B47)),"ANO","NE")))</f>
        <v>NE</v>
      </c>
      <c r="N47" s="43"/>
      <c r="O47" s="43"/>
      <c r="P47" s="43" t="s">
        <v>76</v>
      </c>
      <c r="Q47" s="43" t="str">
        <f aca="false">IF(AND(ISBLANK(B47),ISBLANK(C47)),"",IF(OR(ISNUMBER(SEARCH("230",B47)),ISNUMBER(SEARCH("AC",B47)),ISNUMBER(SEARCH("DC",B47))),"ANO","NE"))</f>
        <v>NE</v>
      </c>
      <c r="R47" s="64" t="str">
        <f aca="false">IF(AND(ISBLANK(B47),ISBLANK(C47)),"",IF(ISNUMBER(SEARCH("ne",F47)),"NE",IF(OR(ISNUMBER(SEARCH("230",B47)),ISNUMBER(SEARCH("AC",B47)),ISNUMBER(SEARCH("DC",B47)),B47=""),"NE","ANO")))</f>
        <v>ANO</v>
      </c>
    </row>
    <row r="48" customFormat="false" ht="28.5" hidden="false" customHeight="true" outlineLevel="0" collapsed="false">
      <c r="B48" s="66" t="s">
        <v>91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</row>
    <row r="49" customFormat="false" ht="28.5" hidden="false" customHeight="true" outlineLevel="0" collapsed="false">
      <c r="B49" s="67" t="s">
        <v>92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</row>
    <row r="50" customFormat="false" ht="15" hidden="false" customHeight="false" outlineLevel="0" collapsed="false">
      <c r="B50" s="68"/>
      <c r="C50" s="68"/>
      <c r="D50" s="68"/>
      <c r="E50" s="68"/>
      <c r="F50" s="68"/>
      <c r="G50" s="68"/>
      <c r="H50" s="68"/>
      <c r="I50" s="69"/>
      <c r="J50" s="70"/>
      <c r="K50" s="69"/>
      <c r="L50" s="69"/>
      <c r="M50" s="69"/>
      <c r="N50" s="69"/>
      <c r="O50" s="69"/>
      <c r="P50" s="69"/>
      <c r="Q50" s="69"/>
      <c r="R50" s="69"/>
    </row>
    <row r="51" customFormat="false" ht="28.5" hidden="false" customHeight="true" outlineLevel="0" collapsed="false">
      <c r="B51" s="71" t="s">
        <v>93</v>
      </c>
      <c r="C51" s="71"/>
      <c r="D51" s="71"/>
      <c r="E51" s="71"/>
      <c r="F51" s="71"/>
      <c r="G51" s="68"/>
      <c r="H51" s="68"/>
      <c r="I51" s="69"/>
      <c r="J51" s="70"/>
      <c r="K51" s="69"/>
      <c r="L51" s="69"/>
      <c r="M51" s="69"/>
      <c r="N51" s="69"/>
      <c r="O51" s="69"/>
      <c r="P51" s="69"/>
      <c r="Q51" s="69"/>
      <c r="R51" s="69"/>
    </row>
    <row r="52" customFormat="false" ht="15.75" hidden="false" customHeight="true" outlineLevel="0" collapsed="false">
      <c r="B52" s="72" t="s">
        <v>94</v>
      </c>
      <c r="C52" s="72"/>
      <c r="D52" s="72"/>
      <c r="E52" s="72"/>
      <c r="F52" s="72"/>
      <c r="G52" s="68"/>
      <c r="H52" s="68"/>
      <c r="I52" s="69"/>
      <c r="J52" s="70"/>
      <c r="K52" s="69"/>
      <c r="L52" s="69"/>
      <c r="M52" s="69"/>
      <c r="N52" s="69"/>
      <c r="O52" s="69"/>
      <c r="P52" s="69"/>
      <c r="Q52" s="69"/>
      <c r="R52" s="69"/>
    </row>
    <row r="53" customFormat="false" ht="15" hidden="false" customHeight="false" outlineLevel="0" collapsed="false">
      <c r="B53" s="72"/>
      <c r="C53" s="72"/>
      <c r="D53" s="72"/>
      <c r="E53" s="72"/>
      <c r="F53" s="72"/>
      <c r="G53" s="68"/>
      <c r="H53" s="68"/>
      <c r="I53" s="69"/>
      <c r="J53" s="70"/>
      <c r="K53" s="69"/>
      <c r="L53" s="69"/>
      <c r="M53" s="69"/>
      <c r="N53" s="69"/>
      <c r="O53" s="69"/>
      <c r="P53" s="69"/>
      <c r="Q53" s="69"/>
      <c r="R53" s="69"/>
    </row>
    <row r="54" customFormat="false" ht="15" hidden="false" customHeight="false" outlineLevel="0" collapsed="false">
      <c r="B54" s="72"/>
      <c r="C54" s="72"/>
      <c r="D54" s="72"/>
      <c r="E54" s="72"/>
      <c r="F54" s="72"/>
      <c r="G54" s="68"/>
      <c r="H54" s="68"/>
      <c r="I54" s="69"/>
      <c r="J54" s="70"/>
      <c r="K54" s="69"/>
      <c r="L54" s="69"/>
      <c r="M54" s="69"/>
      <c r="N54" s="69"/>
      <c r="O54" s="69"/>
      <c r="P54" s="69"/>
      <c r="Q54" s="69"/>
      <c r="R54" s="69"/>
    </row>
    <row r="55" customFormat="false" ht="15" hidden="false" customHeight="false" outlineLevel="0" collapsed="false">
      <c r="B55" s="72"/>
      <c r="C55" s="72"/>
      <c r="D55" s="72"/>
      <c r="E55" s="72"/>
      <c r="F55" s="72"/>
    </row>
    <row r="56" customFormat="false" ht="15" hidden="false" customHeight="false" outlineLevel="0" collapsed="false">
      <c r="B56" s="72"/>
      <c r="C56" s="72"/>
      <c r="D56" s="72"/>
      <c r="E56" s="72"/>
      <c r="F56" s="72"/>
    </row>
    <row r="57" customFormat="false" ht="15" hidden="false" customHeight="false" outlineLevel="0" collapsed="false">
      <c r="B57" s="72"/>
      <c r="C57" s="72"/>
      <c r="D57" s="72"/>
      <c r="E57" s="72"/>
      <c r="F57" s="72"/>
    </row>
    <row r="95" customFormat="false" ht="15" hidden="false" customHeight="false" outlineLevel="0" collapsed="false">
      <c r="D95" s="73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5">
    <mergeCell ref="B1:F1"/>
    <mergeCell ref="B3:F3"/>
    <mergeCell ref="B4:F4"/>
    <mergeCell ref="B5:F5"/>
    <mergeCell ref="C7:F7"/>
    <mergeCell ref="C8:F8"/>
    <mergeCell ref="C9:D9"/>
    <mergeCell ref="E9:F9"/>
    <mergeCell ref="C10:F10"/>
    <mergeCell ref="C11:F11"/>
    <mergeCell ref="C12:F12"/>
    <mergeCell ref="C13:F13"/>
    <mergeCell ref="B14:F14"/>
    <mergeCell ref="C16:F16"/>
    <mergeCell ref="C17:F17"/>
    <mergeCell ref="C18:F18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C25:D25"/>
    <mergeCell ref="E25:F25"/>
    <mergeCell ref="C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C34"/>
    <mergeCell ref="D31:D32"/>
    <mergeCell ref="E31:F31"/>
    <mergeCell ref="E32:F32"/>
    <mergeCell ref="D33:D34"/>
    <mergeCell ref="E33:F33"/>
    <mergeCell ref="E34:F34"/>
    <mergeCell ref="B35:F35"/>
    <mergeCell ref="B37:R37"/>
    <mergeCell ref="B38:R38"/>
    <mergeCell ref="B39:E39"/>
    <mergeCell ref="G39:M39"/>
    <mergeCell ref="P39:R39"/>
    <mergeCell ref="B48:R48"/>
    <mergeCell ref="B49:R49"/>
    <mergeCell ref="B51:F51"/>
    <mergeCell ref="B52:F57"/>
  </mergeCells>
  <conditionalFormatting sqref="G41:R47">
    <cfRule type="containsText" priority="2" operator="containsText" aboveAverage="0" equalAverage="0" bottom="0" percent="0" rank="0" text="ANO" dxfId="0">
      <formula>NOT(ISERROR(SEARCH("ANO",G41)))</formula>
    </cfRule>
  </conditionalFormatting>
  <conditionalFormatting sqref="G50:R54">
    <cfRule type="containsText" priority="3" operator="containsText" aboveAverage="0" equalAverage="0" bottom="0" percent="0" rank="0" text="ANO" dxfId="1">
      <formula>NOT(ISERROR(SEARCH("ANO",G50)))</formula>
    </cfRule>
  </conditionalFormatting>
  <dataValidations count="15">
    <dataValidation allowBlank="true" errorStyle="stop" operator="between" prompt="Pouze pro DC napájená zařízení" showDropDown="false" showErrorMessage="true" showInputMessage="true" sqref="C25:C26" type="none">
      <formula1>0</formula1>
      <formula2>0</formula2>
    </dataValidation>
    <dataValidation allowBlank="true" errorStyle="stop" operator="between" prompt="Pokud je výrobcem specifikovaný AC/DC adaptér, pak se zařízení testuje na AC straně tohoto adaptéru /If the manufacturer specifies an AC / DC adapter, then the device is tested on the AC side of the adapter" showDropDown="false" showErrorMessage="true" showInputMessage="true" sqref="E26:F26" type="none">
      <formula1>0</formula1>
      <formula2>0</formula2>
    </dataValidation>
    <dataValidation allowBlank="true" errorStyle="stop" operator="between" prompt="Typ kabelu je určující pro zvolení vhodných vazebních prostředků." showDropDown="false" showErrorMessage="true" showInputMessage="true" sqref="E42:E47 E50:F50" type="list">
      <formula1>Seznamy!$B$2:$B$7</formula1>
      <formula2>0</formula2>
    </dataValidation>
    <dataValidation allowBlank="true" errorStyle="stop" operator="between" showDropDown="false" showErrorMessage="true" showInputMessage="true" sqref="E30" type="list">
      <formula1>Seznamy!$C$2:$C$3</formula1>
      <formula2>0</formula2>
    </dataValidation>
    <dataValidation allowBlank="true" errorStyle="stop" operator="between" showDropDown="false" showErrorMessage="true" showInputMessage="true" sqref="C16:E16" type="list">
      <formula1>Seznamy!$G$2:$G$3</formula1>
      <formula2>0</formula2>
    </dataValidation>
    <dataValidation allowBlank="true" errorStyle="stop" operator="between" showDropDown="false" showErrorMessage="true" showInputMessage="true" sqref="C18:E18" type="list">
      <formula1>Seznamy!$H$2:$H$3</formula1>
      <formula2>0</formula2>
    </dataValidation>
    <dataValidation allowBlank="true" errorStyle="stop" operator="between" prompt="Délka rozhraní je důležitá pro správné zvolení testů&#10;" showDropDown="false" showErrorMessage="true" showInputMessage="true" sqref="D50" type="list">
      <formula1>Seznamy!$A$2:$A$6</formula1>
      <formula2>0</formula2>
    </dataValidation>
    <dataValidation allowBlank="true" errorStyle="stop" operator="between" showDropDown="false" showErrorMessage="true" showInputMessage="true" sqref="E33" type="list">
      <formula1>Seznamy!$K$2:$K$8</formula1>
      <formula2>0</formula2>
    </dataValidation>
    <dataValidation allowBlank="true" errorStyle="stop" operator="between" prompt="Některá rozhraní nemusí být zapojeny během testování, případně jsou zapojeny pouze pro testování EMC. Jedná se např. o servisní porty." showDropDown="false" showErrorMessage="true" showInputMessage="true" sqref="F42:F47" type="list">
      <formula1>Seznamy!$L$2:$L$5</formula1>
      <formula2>0</formula2>
    </dataValidation>
    <dataValidation allowBlank="true" errorStyle="stop" operator="between" prompt="Délka rozhraní je důležitá pro správné zvolení testů. AC napájecí porty jsou ve většině případů připojena na dlouhá vedení.&#10;" showDropDown="false" showErrorMessage="true" showInputMessage="true" sqref="D42:D47" type="list">
      <formula1>Seznamy!$A$2:$A$6</formula1>
      <formula2>0</formula2>
    </dataValidation>
    <dataValidation allowBlank="true" errorStyle="stop" operator="between" showDropDown="false" showErrorMessage="true" showInputMessage="true" sqref="E31" type="list">
      <formula1>Seznamy!$J$2:$J$9</formula1>
      <formula2>0</formula2>
    </dataValidation>
    <dataValidation allowBlank="true" errorStyle="stop" operator="between" prompt="Pokud je výrobcem specifikovaný AC/DC adaptér, pak se zařízení testuje na AC straně tohoto adaptéru. /If the manufacturer specifies an AC / DC adapter, then the device is tested on the AC side of the adapter." showDropDown="false" showErrorMessage="true" showInputMessage="true" sqref="E25:F25" type="list">
      <formula1>Seznamy!$I$2:$I$4</formula1>
      <formula2>0</formula2>
    </dataValidation>
    <dataValidation allowBlank="true" errorStyle="stop" operator="between" showDropDown="false" showErrorMessage="true" showInputMessage="true" sqref="E21:F21" type="list">
      <formula1>Seznamy!$D$2:$D$9</formula1>
      <formula2>0</formula2>
    </dataValidation>
    <dataValidation allowBlank="true" errorStyle="stop" operator="between" prompt="Zjištění možnosti připojení na vazební prvky /possibility of connection to CDN" showDropDown="false" showErrorMessage="true" showInputMessage="true" sqref="E24:F24" type="list">
      <formula1>Seznamy!$F$2:$F$11</formula1>
      <formula2>0</formula2>
    </dataValidation>
    <dataValidation allowBlank="true" errorStyle="stop" operator="between" prompt="Informace pro měření vyzařovaných emisí /Information for radiated emission measurement" showDropDown="false" showErrorMessage="true" showInputMessage="true" sqref="E27:F27" type="list">
      <formula1>Seznamy!$E$2:$E$4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2890625" defaultRowHeight="15.75" zeroHeight="false" outlineLevelRow="0" outlineLevelCol="0"/>
  <cols>
    <col collapsed="false" customWidth="true" hidden="false" outlineLevel="0" max="1" min="1" style="74" width="30.57"/>
    <col collapsed="false" customWidth="true" hidden="false" outlineLevel="0" max="2" min="2" style="74" width="39.28"/>
    <col collapsed="false" customWidth="false" hidden="false" outlineLevel="0" max="3" min="3" style="74" width="9.13"/>
    <col collapsed="false" customWidth="true" hidden="false" outlineLevel="0" max="4" min="4" style="74" width="46.71"/>
    <col collapsed="false" customWidth="true" hidden="false" outlineLevel="0" max="5" min="5" style="74" width="14.86"/>
    <col collapsed="false" customWidth="true" hidden="false" outlineLevel="0" max="6" min="6" style="74" width="35.58"/>
    <col collapsed="false" customWidth="true" hidden="false" outlineLevel="0" max="7" min="7" style="74" width="19.71"/>
    <col collapsed="false" customWidth="true" hidden="false" outlineLevel="0" max="8" min="8" style="74" width="15.57"/>
    <col collapsed="false" customWidth="true" hidden="false" outlineLevel="0" max="9" min="9" style="74" width="16"/>
    <col collapsed="false" customWidth="true" hidden="false" outlineLevel="0" max="11" min="10" style="74" width="19.71"/>
    <col collapsed="false" customWidth="true" hidden="false" outlineLevel="0" max="12" min="12" style="74" width="33.4"/>
    <col collapsed="false" customWidth="false" hidden="false" outlineLevel="0" max="1024" min="13" style="74" width="9.13"/>
  </cols>
  <sheetData>
    <row r="1" customFormat="false" ht="15.75" hidden="false" customHeight="false" outlineLevel="0" collapsed="false">
      <c r="A1" s="74" t="s">
        <v>95</v>
      </c>
      <c r="B1" s="74" t="s">
        <v>96</v>
      </c>
    </row>
    <row r="2" customFormat="false" ht="15.75" hidden="false" customHeight="false" outlineLevel="0" collapsed="false">
      <c r="A2" s="1" t="s">
        <v>97</v>
      </c>
      <c r="B2" s="1" t="s">
        <v>98</v>
      </c>
      <c r="C2" s="74" t="s">
        <v>36</v>
      </c>
      <c r="D2" s="74" t="s">
        <v>99</v>
      </c>
      <c r="E2" s="74" t="s">
        <v>100</v>
      </c>
      <c r="F2" s="74" t="s">
        <v>101</v>
      </c>
      <c r="G2" s="75" t="s">
        <v>102</v>
      </c>
      <c r="H2" s="74" t="s">
        <v>103</v>
      </c>
      <c r="I2" s="74" t="s">
        <v>36</v>
      </c>
      <c r="J2" s="74" t="s">
        <v>49</v>
      </c>
      <c r="K2" s="74" t="s">
        <v>104</v>
      </c>
      <c r="L2" s="74" t="s">
        <v>36</v>
      </c>
    </row>
    <row r="3" customFormat="false" ht="28.5" hidden="false" customHeight="false" outlineLevel="0" collapsed="false">
      <c r="A3" s="1" t="s">
        <v>80</v>
      </c>
      <c r="B3" s="74" t="s">
        <v>81</v>
      </c>
      <c r="C3" s="74" t="s">
        <v>46</v>
      </c>
      <c r="D3" s="74" t="s">
        <v>105</v>
      </c>
      <c r="E3" s="74" t="s">
        <v>106</v>
      </c>
      <c r="F3" s="74" t="s">
        <v>107</v>
      </c>
      <c r="G3" s="75" t="s">
        <v>108</v>
      </c>
      <c r="H3" s="74" t="s">
        <v>109</v>
      </c>
      <c r="I3" s="74" t="s">
        <v>46</v>
      </c>
      <c r="J3" s="74" t="s">
        <v>110</v>
      </c>
      <c r="K3" s="74" t="s">
        <v>51</v>
      </c>
      <c r="L3" s="74" t="s">
        <v>86</v>
      </c>
    </row>
    <row r="4" customFormat="false" ht="15.75" hidden="false" customHeight="false" outlineLevel="0" collapsed="false">
      <c r="A4" s="1" t="s">
        <v>111</v>
      </c>
      <c r="B4" s="1" t="s">
        <v>83</v>
      </c>
      <c r="D4" s="74" t="s">
        <v>112</v>
      </c>
      <c r="E4" s="74" t="s">
        <v>40</v>
      </c>
      <c r="F4" s="74" t="s">
        <v>113</v>
      </c>
      <c r="I4" s="74" t="s">
        <v>114</v>
      </c>
      <c r="J4" s="74" t="s">
        <v>115</v>
      </c>
      <c r="K4" s="74" t="s">
        <v>116</v>
      </c>
      <c r="L4" s="74" t="s">
        <v>46</v>
      </c>
    </row>
    <row r="5" customFormat="false" ht="15.75" hidden="false" customHeight="false" outlineLevel="0" collapsed="false">
      <c r="A5" s="1" t="s">
        <v>89</v>
      </c>
      <c r="B5" s="1" t="s">
        <v>90</v>
      </c>
      <c r="D5" s="74" t="s">
        <v>28</v>
      </c>
      <c r="F5" s="74" t="s">
        <v>117</v>
      </c>
      <c r="J5" s="74" t="s">
        <v>118</v>
      </c>
      <c r="K5" s="74" t="s">
        <v>119</v>
      </c>
      <c r="L5" s="74" t="s">
        <v>120</v>
      </c>
    </row>
    <row r="6" customFormat="false" ht="15.75" hidden="false" customHeight="false" outlineLevel="0" collapsed="false">
      <c r="A6" s="1" t="s">
        <v>121</v>
      </c>
      <c r="B6" s="1" t="s">
        <v>122</v>
      </c>
      <c r="D6" s="74" t="s">
        <v>123</v>
      </c>
      <c r="F6" s="74" t="s">
        <v>124</v>
      </c>
      <c r="J6" s="74" t="s">
        <v>125</v>
      </c>
      <c r="K6" s="74" t="s">
        <v>126</v>
      </c>
    </row>
    <row r="7" customFormat="false" ht="15.75" hidden="false" customHeight="false" outlineLevel="0" collapsed="false">
      <c r="A7" s="1"/>
      <c r="B7" s="1" t="s">
        <v>127</v>
      </c>
      <c r="D7" s="74" t="s">
        <v>128</v>
      </c>
      <c r="F7" s="74" t="s">
        <v>129</v>
      </c>
      <c r="J7" s="74" t="s">
        <v>130</v>
      </c>
      <c r="K7" s="74" t="s">
        <v>131</v>
      </c>
    </row>
    <row r="8" customFormat="false" ht="15.75" hidden="false" customHeight="false" outlineLevel="0" collapsed="false">
      <c r="D8" s="74" t="s">
        <v>132</v>
      </c>
      <c r="F8" s="74" t="s">
        <v>133</v>
      </c>
      <c r="J8" s="74" t="s">
        <v>131</v>
      </c>
      <c r="K8" s="74" t="s">
        <v>76</v>
      </c>
    </row>
    <row r="9" customFormat="false" ht="15.75" hidden="false" customHeight="false" outlineLevel="0" collapsed="false">
      <c r="D9" s="74" t="s">
        <v>134</v>
      </c>
      <c r="F9" s="74" t="s">
        <v>135</v>
      </c>
      <c r="J9" s="74" t="s">
        <v>76</v>
      </c>
    </row>
    <row r="10" customFormat="false" ht="15.75" hidden="false" customHeight="false" outlineLevel="0" collapsed="false">
      <c r="F10" s="74" t="s">
        <v>34</v>
      </c>
    </row>
    <row r="11" customFormat="false" ht="15.75" hidden="false" customHeight="false" outlineLevel="0" collapsed="false">
      <c r="F11" s="74" t="s">
        <v>136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2020-02-11T06:37:33Z</dcterms:created>
  <dc:creator>ZdeKubik</dc:creator>
  <dc:description/>
  <dc:language>cs-CZ</dc:language>
  <cp:lastModifiedBy/>
  <cp:lastPrinted>2020-09-25T04:12:45Z</cp:lastPrinted>
  <dcterms:modified xsi:type="dcterms:W3CDTF">2025-03-25T12:13:38Z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