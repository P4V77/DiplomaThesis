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<sst xmlns="http://schemas.openxmlformats.org/spreadsheetml/2006/main" count="29" uniqueCount="26">
  <si>
    <t xml:space="preserve">h [mm]</t>
  </si>
  <si>
    <t xml:space="preserve">B [mV] (0A)</t>
  </si>
  <si>
    <t xml:space="preserve">B [mV] (0,5A)</t>
  </si>
  <si>
    <t xml:space="preserve">B [mV] (1A)</t>
  </si>
  <si>
    <t xml:space="preserve">B [mV] (2A)</t>
  </si>
  <si>
    <t xml:space="preserve">B [mV] (-0,5A)</t>
  </si>
  <si>
    <t xml:space="preserve">B [mV] (-1A)</t>
  </si>
  <si>
    <t xml:space="preserve">B [mV] (-2A)</t>
  </si>
  <si>
    <t xml:space="preserve">+I - dovnitř</t>
  </si>
  <si>
    <r>
      <rPr>
        <sz val="10"/>
        <rFont val="Arial"/>
        <family val="2"/>
      </rPr>
      <t xml:space="preserve">-I ven</t>
    </r>
    <r>
      <rPr>
        <b val="true"/>
        <sz val="10"/>
        <rFont val="Arial"/>
        <family val="2"/>
      </rPr>
      <t xml:space="preserve">(</t>
    </r>
    <r>
      <rPr>
        <sz val="10"/>
        <rFont val="Arial"/>
        <family val="2"/>
      </rPr>
      <t xml:space="preserve">nahoru</t>
    </r>
    <r>
      <rPr>
        <b val="true"/>
        <sz val="10"/>
        <rFont val="Arial"/>
        <family val="2"/>
      </rPr>
      <t xml:space="preserve">)</t>
    </r>
  </si>
  <si>
    <t xml:space="preserve">Šum</t>
  </si>
  <si>
    <t xml:space="preserve">mV</t>
  </si>
  <si>
    <t xml:space="preserve">mT</t>
  </si>
  <si>
    <t xml:space="preserve">citlivost</t>
  </si>
  <si>
    <t xml:space="preserve">mv/mT</t>
  </si>
  <si>
    <t xml:space="preserve">mT/mV</t>
  </si>
  <si>
    <t xml:space="preserve">mT/V</t>
  </si>
  <si>
    <t xml:space="preserve">U0</t>
  </si>
  <si>
    <t xml:space="preserve">V</t>
  </si>
  <si>
    <t xml:space="preserve">I = 0A</t>
  </si>
  <si>
    <t xml:space="preserve">I = 0,5A</t>
  </si>
  <si>
    <t xml:space="preserve">I = 1A</t>
  </si>
  <si>
    <t xml:space="preserve">I = 2A</t>
  </si>
  <si>
    <t xml:space="preserve">I = -0,5A</t>
  </si>
  <si>
    <t xml:space="preserve">I = -1A</t>
  </si>
  <si>
    <t xml:space="preserve">I = -2A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</si>
</sst>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List1!$B$1</c:f>
              <c:strCache>
                <c:ptCount val="1"/>
                <c:pt idx="0">
                  <c:v>B [mV] (0A)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List1!$A$2:$A$10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List1!$B$2:$B$10</c:f>
              <c:numCache>
                <c:formatCode>General</c:formatCode>
                <c:ptCount val="9"/>
                <c:pt idx="0">
                  <c:v>1.66</c:v>
                </c:pt>
                <c:pt idx="1">
                  <c:v>1.525</c:v>
                </c:pt>
                <c:pt idx="2">
                  <c:v>1.4</c:v>
                </c:pt>
                <c:pt idx="3">
                  <c:v>1.293</c:v>
                </c:pt>
                <c:pt idx="4">
                  <c:v>1.208</c:v>
                </c:pt>
                <c:pt idx="5">
                  <c:v>1.143</c:v>
                </c:pt>
                <c:pt idx="6">
                  <c:v>1.098</c:v>
                </c:pt>
                <c:pt idx="7">
                  <c:v>1.066</c:v>
                </c:pt>
                <c:pt idx="8">
                  <c:v>1.044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List1!$C$1</c:f>
              <c:strCache>
                <c:ptCount val="1"/>
                <c:pt idx="0">
                  <c:v>B [mV] (0,5A)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List1!$A$2:$A$10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List1!$C$2:$C$10</c:f>
              <c:numCache>
                <c:formatCode>General</c:formatCode>
                <c:ptCount val="9"/>
                <c:pt idx="0">
                  <c:v>1.692</c:v>
                </c:pt>
                <c:pt idx="1">
                  <c:v>1.579</c:v>
                </c:pt>
                <c:pt idx="2">
                  <c:v>1.448</c:v>
                </c:pt>
                <c:pt idx="3">
                  <c:v>1.332</c:v>
                </c:pt>
                <c:pt idx="4">
                  <c:v>1.241</c:v>
                </c:pt>
                <c:pt idx="5">
                  <c:v>1.167</c:v>
                </c:pt>
                <c:pt idx="6">
                  <c:v>1.118</c:v>
                </c:pt>
                <c:pt idx="7">
                  <c:v>1.082</c:v>
                </c:pt>
                <c:pt idx="8">
                  <c:v>1.057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List1!$D$1</c:f>
              <c:strCache>
                <c:ptCount val="1"/>
                <c:pt idx="0">
                  <c:v>B [mV] (1A)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List1!$A$2:$A$10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List1!$D$2:$D$10</c:f>
              <c:numCache>
                <c:formatCode>General</c:formatCode>
                <c:ptCount val="9"/>
                <c:pt idx="0">
                  <c:v>1.718</c:v>
                </c:pt>
                <c:pt idx="1">
                  <c:v>1.594</c:v>
                </c:pt>
                <c:pt idx="2">
                  <c:v>1.466</c:v>
                </c:pt>
                <c:pt idx="3">
                  <c:v>1.357</c:v>
                </c:pt>
                <c:pt idx="4">
                  <c:v>1.253</c:v>
                </c:pt>
                <c:pt idx="5">
                  <c:v>1.182</c:v>
                </c:pt>
                <c:pt idx="6">
                  <c:v>1.128</c:v>
                </c:pt>
                <c:pt idx="7">
                  <c:v>1.088</c:v>
                </c:pt>
                <c:pt idx="8">
                  <c:v>1.064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List1!$E$1</c:f>
              <c:strCache>
                <c:ptCount val="1"/>
                <c:pt idx="0">
                  <c:v>B [mV] (2A)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List1!$A$2:$A$10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List1!$E$2:$E$10</c:f>
              <c:numCache>
                <c:formatCode>General</c:formatCode>
                <c:ptCount val="9"/>
                <c:pt idx="0">
                  <c:v>1.755</c:v>
                </c:pt>
                <c:pt idx="1">
                  <c:v>1.646</c:v>
                </c:pt>
                <c:pt idx="2">
                  <c:v>1.507</c:v>
                </c:pt>
                <c:pt idx="3">
                  <c:v>1.386</c:v>
                </c:pt>
                <c:pt idx="4">
                  <c:v>1.285</c:v>
                </c:pt>
                <c:pt idx="5">
                  <c:v>1.206</c:v>
                </c:pt>
                <c:pt idx="6">
                  <c:v>1.149</c:v>
                </c:pt>
                <c:pt idx="7">
                  <c:v>1.105</c:v>
                </c:pt>
                <c:pt idx="8">
                  <c:v>1.076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List1!$F$1</c:f>
              <c:strCache>
                <c:ptCount val="1"/>
                <c:pt idx="0">
                  <c:v>B [mV] (-0,5A)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List1!$A$2:$A$10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List1!$F$2:$F$10</c:f>
              <c:numCache>
                <c:formatCode>General</c:formatCode>
                <c:ptCount val="9"/>
                <c:pt idx="0">
                  <c:v>1.56</c:v>
                </c:pt>
                <c:pt idx="1">
                  <c:v>1.426</c:v>
                </c:pt>
                <c:pt idx="2">
                  <c:v>1.316</c:v>
                </c:pt>
                <c:pt idx="3">
                  <c:v>1.222</c:v>
                </c:pt>
                <c:pt idx="4">
                  <c:v>1.154</c:v>
                </c:pt>
                <c:pt idx="5">
                  <c:v>1.102</c:v>
                </c:pt>
                <c:pt idx="6">
                  <c:v>1.069</c:v>
                </c:pt>
                <c:pt idx="7">
                  <c:v>1.045</c:v>
                </c:pt>
                <c:pt idx="8">
                  <c:v>1.036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List1!$G$1</c:f>
              <c:strCache>
                <c:ptCount val="1"/>
                <c:pt idx="0">
                  <c:v>B [mV] (-1A)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List1!$A$2:$A$10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List1!$G$2:$G$10</c:f>
              <c:numCache>
                <c:formatCode>General</c:formatCode>
                <c:ptCount val="9"/>
                <c:pt idx="0">
                  <c:v>1.594</c:v>
                </c:pt>
                <c:pt idx="1">
                  <c:v>1.458</c:v>
                </c:pt>
                <c:pt idx="2">
                  <c:v>1.337</c:v>
                </c:pt>
                <c:pt idx="3">
                  <c:v>1.24</c:v>
                </c:pt>
                <c:pt idx="4">
                  <c:v>1.166</c:v>
                </c:pt>
                <c:pt idx="5">
                  <c:v>1.111</c:v>
                </c:pt>
                <c:pt idx="6">
                  <c:v>1.073</c:v>
                </c:pt>
                <c:pt idx="7">
                  <c:v>1.047</c:v>
                </c:pt>
                <c:pt idx="8">
                  <c:v>1.031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List1!$H$1</c:f>
              <c:strCache>
                <c:ptCount val="1"/>
                <c:pt idx="0">
                  <c:v>B [mV] (-2A)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List1!$A$2:$A$10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List1!$H$2:$H$10</c:f>
              <c:numCache>
                <c:formatCode>General</c:formatCode>
                <c:ptCount val="9"/>
                <c:pt idx="0">
                  <c:v>1.589</c:v>
                </c:pt>
                <c:pt idx="1">
                  <c:v>1.469</c:v>
                </c:pt>
                <c:pt idx="2">
                  <c:v>1.344</c:v>
                </c:pt>
                <c:pt idx="3">
                  <c:v>1.244</c:v>
                </c:pt>
                <c:pt idx="4">
                  <c:v>1.162</c:v>
                </c:pt>
                <c:pt idx="5">
                  <c:v>1.107</c:v>
                </c:pt>
                <c:pt idx="6">
                  <c:v>1.065</c:v>
                </c:pt>
                <c:pt idx="7">
                  <c:v>1.041</c:v>
                </c:pt>
                <c:pt idx="8">
                  <c:v>1.023</c:v>
                </c:pt>
              </c:numCache>
            </c:numRef>
          </c:yVal>
          <c:smooth val="0"/>
        </c:ser>
        <c:axId val="63272889"/>
        <c:axId val="76765624"/>
      </c:scatterChart>
      <c:valAx>
        <c:axId val="6327288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6765624"/>
        <c:crosses val="autoZero"/>
        <c:crossBetween val="between"/>
      </c:valAx>
      <c:valAx>
        <c:axId val="76765624"/>
        <c:scaling>
          <c:orientation val="minMax"/>
          <c:min val="1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327288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List1!$B$13</c:f>
              <c:strCache>
                <c:ptCount val="1"/>
                <c:pt idx="0">
                  <c:v>I = 0A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List1!$A$14:$A$22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List1!$B$14:$B$22</c:f>
              <c:numCache>
                <c:formatCode>General</c:formatCode>
                <c:ptCount val="9"/>
                <c:pt idx="0">
                  <c:v>58.1818181818182</c:v>
                </c:pt>
                <c:pt idx="1">
                  <c:v>45.9090909090909</c:v>
                </c:pt>
                <c:pt idx="2">
                  <c:v>34.5454545454545</c:v>
                </c:pt>
                <c:pt idx="3">
                  <c:v>24.8181818181818</c:v>
                </c:pt>
                <c:pt idx="4">
                  <c:v>17.0909090909091</c:v>
                </c:pt>
                <c:pt idx="5">
                  <c:v>11.1818181818182</c:v>
                </c:pt>
                <c:pt idx="6">
                  <c:v>7.0909090909091</c:v>
                </c:pt>
                <c:pt idx="7">
                  <c:v>4.18181818181819</c:v>
                </c:pt>
                <c:pt idx="8">
                  <c:v>2.18181818181818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List1!$C$13</c:f>
              <c:strCache>
                <c:ptCount val="1"/>
                <c:pt idx="0">
                  <c:v>I = 0,5A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List1!$A$14:$A$22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List1!$C$14:$C$22</c:f>
              <c:numCache>
                <c:formatCode>General</c:formatCode>
                <c:ptCount val="9"/>
                <c:pt idx="0">
                  <c:v>61.0909090909091</c:v>
                </c:pt>
                <c:pt idx="1">
                  <c:v>50.8181818181818</c:v>
                </c:pt>
                <c:pt idx="2">
                  <c:v>38.9090909090909</c:v>
                </c:pt>
                <c:pt idx="3">
                  <c:v>28.3636363636364</c:v>
                </c:pt>
                <c:pt idx="4">
                  <c:v>20.0909090909091</c:v>
                </c:pt>
                <c:pt idx="5">
                  <c:v>13.3636363636364</c:v>
                </c:pt>
                <c:pt idx="6">
                  <c:v>8.90909090909092</c:v>
                </c:pt>
                <c:pt idx="7">
                  <c:v>5.63636363636364</c:v>
                </c:pt>
                <c:pt idx="8">
                  <c:v>3.36363636363636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List1!$D$13</c:f>
              <c:strCache>
                <c:ptCount val="1"/>
                <c:pt idx="0">
                  <c:v>I = 1A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List1!$A$14:$A$22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List1!$D$14:$D$22</c:f>
              <c:numCache>
                <c:formatCode>General</c:formatCode>
                <c:ptCount val="9"/>
                <c:pt idx="0">
                  <c:v>63.4545454545454</c:v>
                </c:pt>
                <c:pt idx="1">
                  <c:v>52.1818181818182</c:v>
                </c:pt>
                <c:pt idx="2">
                  <c:v>40.5454545454545</c:v>
                </c:pt>
                <c:pt idx="3">
                  <c:v>30.6363636363636</c:v>
                </c:pt>
                <c:pt idx="4">
                  <c:v>21.1818181818182</c:v>
                </c:pt>
                <c:pt idx="5">
                  <c:v>14.7272727272727</c:v>
                </c:pt>
                <c:pt idx="6">
                  <c:v>9.81818181818181</c:v>
                </c:pt>
                <c:pt idx="7">
                  <c:v>6.18181818181819</c:v>
                </c:pt>
                <c:pt idx="8">
                  <c:v>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List1!$E$13</c:f>
              <c:strCache>
                <c:ptCount val="1"/>
                <c:pt idx="0">
                  <c:v>I = 2A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List1!$A$14:$A$22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List1!$E$14:$E$22</c:f>
              <c:numCache>
                <c:formatCode>General</c:formatCode>
                <c:ptCount val="9"/>
                <c:pt idx="0">
                  <c:v>66.8181818181818</c:v>
                </c:pt>
                <c:pt idx="1">
                  <c:v>56.9090909090909</c:v>
                </c:pt>
                <c:pt idx="2">
                  <c:v>44.2727272727273</c:v>
                </c:pt>
                <c:pt idx="3">
                  <c:v>33.2727272727273</c:v>
                </c:pt>
                <c:pt idx="4">
                  <c:v>24.0909090909091</c:v>
                </c:pt>
                <c:pt idx="5">
                  <c:v>16.9090909090909</c:v>
                </c:pt>
                <c:pt idx="6">
                  <c:v>11.7272727272727</c:v>
                </c:pt>
                <c:pt idx="7">
                  <c:v>7.72727272727272</c:v>
                </c:pt>
                <c:pt idx="8">
                  <c:v>5.0909090909091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List1!$F$13</c:f>
              <c:strCache>
                <c:ptCount val="1"/>
                <c:pt idx="0">
                  <c:v>I = -0,5A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List1!$A$14:$A$22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List1!$F$14:$F$22</c:f>
              <c:numCache>
                <c:formatCode>General</c:formatCode>
                <c:ptCount val="9"/>
                <c:pt idx="0">
                  <c:v>49.0909090909091</c:v>
                </c:pt>
                <c:pt idx="1">
                  <c:v>36.9090909090909</c:v>
                </c:pt>
                <c:pt idx="2">
                  <c:v>26.9090909090909</c:v>
                </c:pt>
                <c:pt idx="3">
                  <c:v>18.3636363636364</c:v>
                </c:pt>
                <c:pt idx="4">
                  <c:v>12.1818181818182</c:v>
                </c:pt>
                <c:pt idx="5">
                  <c:v>7.45454545454546</c:v>
                </c:pt>
                <c:pt idx="6">
                  <c:v>4.45454545454545</c:v>
                </c:pt>
                <c:pt idx="7">
                  <c:v>2.27272727272726</c:v>
                </c:pt>
                <c:pt idx="8">
                  <c:v>1.45454545454546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List1!$G$13</c:f>
              <c:strCache>
                <c:ptCount val="1"/>
                <c:pt idx="0">
                  <c:v>I = -1A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List1!$A$14:$A$22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List1!$G$14:$G$22</c:f>
              <c:numCache>
                <c:formatCode>General</c:formatCode>
                <c:ptCount val="9"/>
                <c:pt idx="0">
                  <c:v>52.1818181818182</c:v>
                </c:pt>
                <c:pt idx="1">
                  <c:v>39.8181818181818</c:v>
                </c:pt>
                <c:pt idx="2">
                  <c:v>28.8181818181818</c:v>
                </c:pt>
                <c:pt idx="3">
                  <c:v>20</c:v>
                </c:pt>
                <c:pt idx="4">
                  <c:v>13.2727272727273</c:v>
                </c:pt>
                <c:pt idx="5">
                  <c:v>8.27272727272727</c:v>
                </c:pt>
                <c:pt idx="6">
                  <c:v>4.81818181818181</c:v>
                </c:pt>
                <c:pt idx="7">
                  <c:v>2.45454545454545</c:v>
                </c:pt>
                <c:pt idx="8">
                  <c:v>0.999999999999991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List1!$H$13</c:f>
              <c:strCache>
                <c:ptCount val="1"/>
                <c:pt idx="0">
                  <c:v>I = -2A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List1!$A$14:$A$22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List1!$H$14:$H$22</c:f>
              <c:numCache>
                <c:formatCode>General</c:formatCode>
                <c:ptCount val="9"/>
                <c:pt idx="0">
                  <c:v>51.7272727272727</c:v>
                </c:pt>
                <c:pt idx="1">
                  <c:v>40.8181818181818</c:v>
                </c:pt>
                <c:pt idx="2">
                  <c:v>29.4545454545455</c:v>
                </c:pt>
                <c:pt idx="3">
                  <c:v>20.3636363636364</c:v>
                </c:pt>
                <c:pt idx="4">
                  <c:v>12.9090909090909</c:v>
                </c:pt>
                <c:pt idx="5">
                  <c:v>7.90909090909091</c:v>
                </c:pt>
                <c:pt idx="6">
                  <c:v>4.09090909090909</c:v>
                </c:pt>
                <c:pt idx="7">
                  <c:v>1.9090909090909</c:v>
                </c:pt>
                <c:pt idx="8">
                  <c:v>0.272727272727263</c:v>
                </c:pt>
              </c:numCache>
            </c:numRef>
          </c:yVal>
          <c:smooth val="0"/>
        </c:ser>
        <c:axId val="20647514"/>
        <c:axId val="83916875"/>
      </c:scatterChart>
      <c:valAx>
        <c:axId val="206475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h [mm]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3916875"/>
        <c:crosses val="autoZero"/>
        <c:crossBetween val="between"/>
      </c:valAx>
      <c:valAx>
        <c:axId val="839168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B [mT]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064751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321840</xdr:colOff>
      <xdr:row>7</xdr:row>
      <xdr:rowOff>108360</xdr:rowOff>
    </xdr:from>
    <xdr:to>
      <xdr:col>15</xdr:col>
      <xdr:colOff>396720</xdr:colOff>
      <xdr:row>27</xdr:row>
      <xdr:rowOff>101880</xdr:rowOff>
    </xdr:to>
    <xdr:graphicFrame>
      <xdr:nvGraphicFramePr>
        <xdr:cNvPr id="0" name=""/>
        <xdr:cNvGraphicFramePr/>
      </xdr:nvGraphicFramePr>
      <xdr:xfrm>
        <a:off x="7054200" y="1246320"/>
        <a:ext cx="5764320" cy="324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201960</xdr:colOff>
      <xdr:row>70</xdr:row>
      <xdr:rowOff>151920</xdr:rowOff>
    </xdr:from>
    <xdr:to>
      <xdr:col>10</xdr:col>
      <xdr:colOff>146520</xdr:colOff>
      <xdr:row>90</xdr:row>
      <xdr:rowOff>140400</xdr:rowOff>
    </xdr:to>
    <xdr:graphicFrame>
      <xdr:nvGraphicFramePr>
        <xdr:cNvPr id="1" name=""/>
        <xdr:cNvGraphicFramePr/>
      </xdr:nvGraphicFramePr>
      <xdr:xfrm>
        <a:off x="2744640" y="115311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true" showOutlineSymbols="true" defaultGridColor="true" view="normal" topLeftCell="A13" colorId="64" zoomScale="140" zoomScaleNormal="140" zoomScalePageLayoutView="100" workbookViewId="0">
      <selection pane="topLeft" activeCell="F23" activeCellId="0" sqref="F23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2.99"/>
    <col collapsed="false" customWidth="true" hidden="false" outlineLevel="0" max="6" min="6" style="0" width="13.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0" t="s">
        <v>8</v>
      </c>
    </row>
    <row r="2" customFormat="false" ht="12.8" hidden="false" customHeight="false" outlineLevel="0" collapsed="false">
      <c r="A2" s="0" t="n">
        <v>0</v>
      </c>
      <c r="B2" s="2" t="n">
        <v>1.66</v>
      </c>
      <c r="C2" s="2" t="n">
        <v>1.692</v>
      </c>
      <c r="D2" s="2" t="n">
        <v>1.718</v>
      </c>
      <c r="E2" s="2" t="n">
        <v>1.755</v>
      </c>
      <c r="F2" s="2" t="n">
        <v>1.56</v>
      </c>
      <c r="G2" s="2" t="n">
        <v>1.594</v>
      </c>
      <c r="H2" s="2" t="n">
        <v>1.589</v>
      </c>
      <c r="I2" s="2"/>
      <c r="J2" s="0" t="s">
        <v>9</v>
      </c>
      <c r="K2" s="2"/>
      <c r="L2" s="2"/>
      <c r="M2" s="2"/>
      <c r="N2" s="2"/>
      <c r="O2" s="2"/>
    </row>
    <row r="3" customFormat="false" ht="12.8" hidden="false" customHeight="false" outlineLevel="0" collapsed="false">
      <c r="A3" s="0" t="n">
        <v>1</v>
      </c>
      <c r="B3" s="2" t="n">
        <v>1.525</v>
      </c>
      <c r="C3" s="2" t="n">
        <v>1.579</v>
      </c>
      <c r="D3" s="2" t="n">
        <v>1.594</v>
      </c>
      <c r="E3" s="2" t="n">
        <v>1.646</v>
      </c>
      <c r="F3" s="2" t="n">
        <v>1.426</v>
      </c>
      <c r="G3" s="2" t="n">
        <v>1.458</v>
      </c>
      <c r="H3" s="2" t="n">
        <v>1.469</v>
      </c>
      <c r="I3" s="2"/>
      <c r="J3" s="0" t="s">
        <v>10</v>
      </c>
      <c r="K3" s="0" t="n">
        <v>11.5</v>
      </c>
      <c r="L3" s="0" t="s">
        <v>11</v>
      </c>
      <c r="M3" s="2" t="n">
        <f aca="false">K3*K5</f>
        <v>1.04545454545455</v>
      </c>
      <c r="N3" s="2" t="s">
        <v>12</v>
      </c>
      <c r="O3" s="2"/>
    </row>
    <row r="4" customFormat="false" ht="12.8" hidden="false" customHeight="false" outlineLevel="0" collapsed="false">
      <c r="A4" s="0" t="n">
        <v>2</v>
      </c>
      <c r="B4" s="2" t="n">
        <v>1.4</v>
      </c>
      <c r="C4" s="2" t="n">
        <v>1.448</v>
      </c>
      <c r="D4" s="2" t="n">
        <v>1.466</v>
      </c>
      <c r="E4" s="2" t="n">
        <v>1.507</v>
      </c>
      <c r="F4" s="2" t="n">
        <v>1.316</v>
      </c>
      <c r="G4" s="2" t="n">
        <v>1.337</v>
      </c>
      <c r="H4" s="2" t="n">
        <v>1.344</v>
      </c>
      <c r="I4" s="2"/>
      <c r="J4" s="2" t="s">
        <v>13</v>
      </c>
      <c r="K4" s="2" t="n">
        <v>11</v>
      </c>
      <c r="L4" s="2" t="s">
        <v>14</v>
      </c>
      <c r="M4" s="2"/>
      <c r="N4" s="2"/>
      <c r="O4" s="2"/>
    </row>
    <row r="5" customFormat="false" ht="12.8" hidden="false" customHeight="false" outlineLevel="0" collapsed="false">
      <c r="A5" s="0" t="n">
        <v>3</v>
      </c>
      <c r="B5" s="2" t="n">
        <v>1.293</v>
      </c>
      <c r="C5" s="2" t="n">
        <v>1.332</v>
      </c>
      <c r="D5" s="2" t="n">
        <v>1.357</v>
      </c>
      <c r="E5" s="2" t="n">
        <v>1.386</v>
      </c>
      <c r="F5" s="2" t="n">
        <v>1.222</v>
      </c>
      <c r="G5" s="2" t="n">
        <v>1.24</v>
      </c>
      <c r="H5" s="2" t="n">
        <v>1.244</v>
      </c>
      <c r="I5" s="2"/>
      <c r="J5" s="2" t="s">
        <v>13</v>
      </c>
      <c r="K5" s="2" t="n">
        <f aca="false">1/K4</f>
        <v>0.0909090909090909</v>
      </c>
      <c r="L5" s="2" t="s">
        <v>15</v>
      </c>
      <c r="M5" s="2"/>
      <c r="N5" s="2"/>
      <c r="O5" s="2"/>
    </row>
    <row r="6" customFormat="false" ht="12.8" hidden="false" customHeight="false" outlineLevel="0" collapsed="false">
      <c r="A6" s="0" t="n">
        <v>4</v>
      </c>
      <c r="B6" s="2" t="n">
        <v>1.208</v>
      </c>
      <c r="C6" s="2" t="n">
        <v>1.241</v>
      </c>
      <c r="D6" s="2" t="n">
        <v>1.253</v>
      </c>
      <c r="E6" s="2" t="n">
        <v>1.285</v>
      </c>
      <c r="F6" s="2" t="n">
        <v>1.154</v>
      </c>
      <c r="G6" s="2" t="n">
        <v>1.166</v>
      </c>
      <c r="H6" s="2" t="n">
        <v>1.162</v>
      </c>
      <c r="I6" s="2"/>
      <c r="J6" s="0" t="s">
        <v>13</v>
      </c>
      <c r="K6" s="0" t="n">
        <f aca="false">K5*1000</f>
        <v>90.9090909090909</v>
      </c>
      <c r="L6" s="0" t="s">
        <v>16</v>
      </c>
      <c r="M6" s="2"/>
      <c r="N6" s="2"/>
      <c r="O6" s="2"/>
    </row>
    <row r="7" customFormat="false" ht="12.8" hidden="false" customHeight="false" outlineLevel="0" collapsed="false">
      <c r="A7" s="0" t="n">
        <v>5</v>
      </c>
      <c r="B7" s="2" t="n">
        <v>1.143</v>
      </c>
      <c r="C7" s="2" t="n">
        <v>1.167</v>
      </c>
      <c r="D7" s="2" t="n">
        <v>1.182</v>
      </c>
      <c r="E7" s="2" t="n">
        <v>1.206</v>
      </c>
      <c r="F7" s="2" t="n">
        <v>1.102</v>
      </c>
      <c r="G7" s="2" t="n">
        <v>1.111</v>
      </c>
      <c r="H7" s="2" t="n">
        <v>1.107</v>
      </c>
      <c r="I7" s="2"/>
      <c r="J7" s="2" t="s">
        <v>17</v>
      </c>
      <c r="K7" s="2" t="n">
        <v>1.02</v>
      </c>
      <c r="L7" s="2" t="s">
        <v>18</v>
      </c>
      <c r="M7" s="2"/>
      <c r="N7" s="2"/>
      <c r="O7" s="2"/>
    </row>
    <row r="8" customFormat="false" ht="12.8" hidden="false" customHeight="false" outlineLevel="0" collapsed="false">
      <c r="A8" s="0" t="n">
        <v>6</v>
      </c>
      <c r="B8" s="2" t="n">
        <v>1.098</v>
      </c>
      <c r="C8" s="2" t="n">
        <v>1.118</v>
      </c>
      <c r="D8" s="2" t="n">
        <v>1.128</v>
      </c>
      <c r="E8" s="2" t="n">
        <v>1.149</v>
      </c>
      <c r="F8" s="2" t="n">
        <v>1.069</v>
      </c>
      <c r="G8" s="2" t="n">
        <v>1.073</v>
      </c>
      <c r="H8" s="2" t="n">
        <v>1.065</v>
      </c>
      <c r="I8" s="2"/>
      <c r="J8" s="2"/>
      <c r="K8" s="2"/>
      <c r="L8" s="2"/>
      <c r="M8" s="2"/>
      <c r="N8" s="2"/>
      <c r="O8" s="2"/>
    </row>
    <row r="9" customFormat="false" ht="12.8" hidden="false" customHeight="false" outlineLevel="0" collapsed="false">
      <c r="A9" s="0" t="n">
        <v>7</v>
      </c>
      <c r="B9" s="2" t="n">
        <v>1.066</v>
      </c>
      <c r="C9" s="2" t="n">
        <v>1.082</v>
      </c>
      <c r="D9" s="2" t="n">
        <v>1.088</v>
      </c>
      <c r="E9" s="2" t="n">
        <v>1.105</v>
      </c>
      <c r="F9" s="2" t="n">
        <v>1.045</v>
      </c>
      <c r="G9" s="2" t="n">
        <v>1.047</v>
      </c>
      <c r="H9" s="2" t="n">
        <v>1.041</v>
      </c>
      <c r="I9" s="2"/>
      <c r="J9" s="2"/>
      <c r="K9" s="2"/>
      <c r="L9" s="2"/>
      <c r="M9" s="2"/>
      <c r="N9" s="2"/>
      <c r="O9" s="2"/>
    </row>
    <row r="10" customFormat="false" ht="12.8" hidden="false" customHeight="false" outlineLevel="0" collapsed="false">
      <c r="A10" s="0" t="n">
        <v>8</v>
      </c>
      <c r="B10" s="2" t="n">
        <v>1.044</v>
      </c>
      <c r="C10" s="2" t="n">
        <v>1.057</v>
      </c>
      <c r="D10" s="2" t="n">
        <v>1.064</v>
      </c>
      <c r="E10" s="2" t="n">
        <v>1.076</v>
      </c>
      <c r="F10" s="2" t="n">
        <v>1.036</v>
      </c>
      <c r="G10" s="2" t="n">
        <v>1.031</v>
      </c>
      <c r="H10" s="2" t="n">
        <v>1.023</v>
      </c>
      <c r="I10" s="2"/>
      <c r="J10" s="2"/>
      <c r="K10" s="2"/>
      <c r="L10" s="2"/>
      <c r="M10" s="2"/>
      <c r="N10" s="2"/>
      <c r="O10" s="2"/>
    </row>
    <row r="13" customFormat="false" ht="12.8" hidden="false" customHeight="false" outlineLevel="0" collapsed="false">
      <c r="A13" s="1" t="s">
        <v>0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25</v>
      </c>
    </row>
    <row r="14" customFormat="false" ht="12.8" hidden="false" customHeight="false" outlineLevel="0" collapsed="false">
      <c r="A14" s="0" t="n">
        <v>0</v>
      </c>
      <c r="B14" s="2" t="n">
        <f aca="false">(B2-$K$7)*$K$6</f>
        <v>58.1818181818182</v>
      </c>
      <c r="C14" s="2" t="n">
        <f aca="false">(C2-$K$7)*$K$6</f>
        <v>61.0909090909091</v>
      </c>
      <c r="D14" s="2" t="n">
        <f aca="false">(D2-$K$7)*$K$6</f>
        <v>63.4545454545454</v>
      </c>
      <c r="E14" s="2" t="n">
        <f aca="false">(E2-$K$7)*$K$6</f>
        <v>66.8181818181818</v>
      </c>
      <c r="F14" s="2" t="n">
        <f aca="false">(F2-$K$7)*$K$6</f>
        <v>49.0909090909091</v>
      </c>
      <c r="G14" s="2" t="n">
        <f aca="false">(G2-$K$7)*$K$6</f>
        <v>52.1818181818182</v>
      </c>
      <c r="H14" s="2" t="n">
        <f aca="false">(H2-$K$7)*$K$6</f>
        <v>51.7272727272727</v>
      </c>
    </row>
    <row r="15" customFormat="false" ht="12.8" hidden="false" customHeight="false" outlineLevel="0" collapsed="false">
      <c r="A15" s="0" t="n">
        <v>1</v>
      </c>
      <c r="B15" s="2" t="n">
        <f aca="false">(B3-$K$7)*$K$6</f>
        <v>45.9090909090909</v>
      </c>
      <c r="C15" s="2" t="n">
        <f aca="false">(C3-$K$7)*$K$6</f>
        <v>50.8181818181818</v>
      </c>
      <c r="D15" s="2" t="n">
        <f aca="false">(D3-$K$7)*$K$6</f>
        <v>52.1818181818182</v>
      </c>
      <c r="E15" s="2" t="n">
        <f aca="false">(E3-$K$7)*$K$6</f>
        <v>56.9090909090909</v>
      </c>
      <c r="F15" s="2" t="n">
        <f aca="false">(F3-$K$7)*$K$6</f>
        <v>36.9090909090909</v>
      </c>
      <c r="G15" s="2" t="n">
        <f aca="false">(G3-$K$7)*$K$6</f>
        <v>39.8181818181818</v>
      </c>
      <c r="H15" s="2" t="n">
        <f aca="false">(H3-$K$7)*$K$6</f>
        <v>40.8181818181818</v>
      </c>
    </row>
    <row r="16" customFormat="false" ht="12.8" hidden="false" customHeight="false" outlineLevel="0" collapsed="false">
      <c r="A16" s="0" t="n">
        <v>2</v>
      </c>
      <c r="B16" s="2" t="n">
        <f aca="false">(B4-$K$7)*$K$6</f>
        <v>34.5454545454545</v>
      </c>
      <c r="C16" s="2" t="n">
        <f aca="false">(C4-$K$7)*$K$6</f>
        <v>38.9090909090909</v>
      </c>
      <c r="D16" s="2" t="n">
        <f aca="false">(D4-$K$7)*$K$6</f>
        <v>40.5454545454545</v>
      </c>
      <c r="E16" s="2" t="n">
        <f aca="false">(E4-$K$7)*$K$6</f>
        <v>44.2727272727273</v>
      </c>
      <c r="F16" s="2" t="n">
        <f aca="false">(F4-$K$7)*$K$6</f>
        <v>26.9090909090909</v>
      </c>
      <c r="G16" s="2" t="n">
        <f aca="false">(G4-$K$7)*$K$6</f>
        <v>28.8181818181818</v>
      </c>
      <c r="H16" s="2" t="n">
        <f aca="false">(H4-$K$7)*$K$6</f>
        <v>29.4545454545455</v>
      </c>
    </row>
    <row r="17" customFormat="false" ht="12.8" hidden="false" customHeight="false" outlineLevel="0" collapsed="false">
      <c r="A17" s="0" t="n">
        <v>3</v>
      </c>
      <c r="B17" s="2" t="n">
        <f aca="false">(B5-$K$7)*$K$6</f>
        <v>24.8181818181818</v>
      </c>
      <c r="C17" s="2" t="n">
        <f aca="false">(C5-$K$7)*$K$6</f>
        <v>28.3636363636364</v>
      </c>
      <c r="D17" s="2" t="n">
        <f aca="false">(D5-$K$7)*$K$6</f>
        <v>30.6363636363636</v>
      </c>
      <c r="E17" s="2" t="n">
        <f aca="false">(E5-$K$7)*$K$6</f>
        <v>33.2727272727273</v>
      </c>
      <c r="F17" s="2" t="n">
        <f aca="false">(F5-$K$7)*$K$6</f>
        <v>18.3636363636364</v>
      </c>
      <c r="G17" s="2" t="n">
        <f aca="false">(G5-$K$7)*$K$6</f>
        <v>20</v>
      </c>
      <c r="H17" s="2" t="n">
        <f aca="false">(H5-$K$7)*$K$6</f>
        <v>20.3636363636364</v>
      </c>
    </row>
    <row r="18" customFormat="false" ht="12.8" hidden="false" customHeight="false" outlineLevel="0" collapsed="false">
      <c r="A18" s="0" t="n">
        <v>4</v>
      </c>
      <c r="B18" s="2" t="n">
        <f aca="false">(B6-$K$7)*$K$6</f>
        <v>17.0909090909091</v>
      </c>
      <c r="C18" s="2" t="n">
        <f aca="false">(C6-$K$7)*$K$6</f>
        <v>20.0909090909091</v>
      </c>
      <c r="D18" s="2" t="n">
        <f aca="false">(D6-$K$7)*$K$6</f>
        <v>21.1818181818182</v>
      </c>
      <c r="E18" s="2" t="n">
        <f aca="false">(E6-$K$7)*$K$6</f>
        <v>24.0909090909091</v>
      </c>
      <c r="F18" s="2" t="n">
        <f aca="false">(F6-$K$7)*$K$6</f>
        <v>12.1818181818182</v>
      </c>
      <c r="G18" s="2" t="n">
        <f aca="false">(G6-$K$7)*$K$6</f>
        <v>13.2727272727273</v>
      </c>
      <c r="H18" s="2" t="n">
        <f aca="false">(H6-$K$7)*$K$6</f>
        <v>12.9090909090909</v>
      </c>
    </row>
    <row r="19" customFormat="false" ht="12.8" hidden="false" customHeight="false" outlineLevel="0" collapsed="false">
      <c r="A19" s="0" t="n">
        <v>5</v>
      </c>
      <c r="B19" s="2" t="n">
        <f aca="false">(B7-$K$7)*$K$6</f>
        <v>11.1818181818182</v>
      </c>
      <c r="C19" s="2" t="n">
        <f aca="false">(C7-$K$7)*$K$6</f>
        <v>13.3636363636364</v>
      </c>
      <c r="D19" s="2" t="n">
        <f aca="false">(D7-$K$7)*$K$6</f>
        <v>14.7272727272727</v>
      </c>
      <c r="E19" s="2" t="n">
        <f aca="false">(E7-$K$7)*$K$6</f>
        <v>16.9090909090909</v>
      </c>
      <c r="F19" s="2" t="n">
        <f aca="false">(F7-$K$7)*$K$6</f>
        <v>7.45454545454546</v>
      </c>
      <c r="G19" s="2" t="n">
        <f aca="false">(G7-$K$7)*$K$6</f>
        <v>8.27272727272727</v>
      </c>
      <c r="H19" s="2" t="n">
        <f aca="false">(H7-$K$7)*$K$6</f>
        <v>7.90909090909091</v>
      </c>
    </row>
    <row r="20" customFormat="false" ht="12.8" hidden="false" customHeight="false" outlineLevel="0" collapsed="false">
      <c r="A20" s="0" t="n">
        <v>6</v>
      </c>
      <c r="B20" s="2" t="n">
        <f aca="false">(B8-$K$7)*$K$6</f>
        <v>7.0909090909091</v>
      </c>
      <c r="C20" s="2" t="n">
        <f aca="false">(C8-$K$7)*$K$6</f>
        <v>8.90909090909092</v>
      </c>
      <c r="D20" s="2" t="n">
        <f aca="false">(D8-$K$7)*$K$6</f>
        <v>9.81818181818181</v>
      </c>
      <c r="E20" s="2" t="n">
        <f aca="false">(E8-$K$7)*$K$6</f>
        <v>11.7272727272727</v>
      </c>
      <c r="F20" s="2" t="n">
        <f aca="false">(F8-$K$7)*$K$6</f>
        <v>4.45454545454545</v>
      </c>
      <c r="G20" s="2" t="n">
        <f aca="false">(G8-$K$7)*$K$6</f>
        <v>4.81818181818181</v>
      </c>
      <c r="H20" s="2" t="n">
        <f aca="false">(H8-$K$7)*$K$6</f>
        <v>4.09090909090909</v>
      </c>
    </row>
    <row r="21" customFormat="false" ht="12.8" hidden="false" customHeight="false" outlineLevel="0" collapsed="false">
      <c r="A21" s="0" t="n">
        <v>7</v>
      </c>
      <c r="B21" s="2" t="n">
        <f aca="false">(B9-$K$7)*$K$6</f>
        <v>4.18181818181819</v>
      </c>
      <c r="C21" s="2" t="n">
        <f aca="false">(C9-$K$7)*$K$6</f>
        <v>5.63636363636364</v>
      </c>
      <c r="D21" s="2" t="n">
        <f aca="false">(D9-$K$7)*$K$6</f>
        <v>6.18181818181819</v>
      </c>
      <c r="E21" s="2" t="n">
        <f aca="false">(E9-$K$7)*$K$6</f>
        <v>7.72727272727272</v>
      </c>
      <c r="F21" s="2" t="n">
        <f aca="false">(F9-$K$7)*$K$6</f>
        <v>2.27272727272726</v>
      </c>
      <c r="G21" s="2" t="n">
        <f aca="false">(G9-$K$7)*$K$6</f>
        <v>2.45454545454545</v>
      </c>
      <c r="H21" s="2" t="n">
        <f aca="false">(H9-$K$7)*$K$6</f>
        <v>1.9090909090909</v>
      </c>
    </row>
    <row r="22" customFormat="false" ht="12.8" hidden="false" customHeight="false" outlineLevel="0" collapsed="false">
      <c r="A22" s="0" t="n">
        <v>8</v>
      </c>
      <c r="B22" s="2" t="n">
        <f aca="false">(B10-$K$7)*$K$6</f>
        <v>2.18181818181818</v>
      </c>
      <c r="C22" s="2" t="n">
        <f aca="false">(C10-$K$7)*$K$6</f>
        <v>3.36363636363636</v>
      </c>
      <c r="D22" s="2" t="n">
        <f aca="false">(D10-$K$7)*$K$6</f>
        <v>4</v>
      </c>
      <c r="E22" s="2" t="n">
        <f aca="false">(E10-$K$7)*$K$6</f>
        <v>5.0909090909091</v>
      </c>
      <c r="F22" s="2" t="n">
        <f aca="false">(F10-$K$7)*$K$6</f>
        <v>1.45454545454546</v>
      </c>
      <c r="G22" s="2" t="n">
        <f aca="false">(G10-$K$7)*$K$6</f>
        <v>0.999999999999991</v>
      </c>
      <c r="H22" s="2" t="n">
        <f aca="false">(H10-$K$7)*$K$6</f>
        <v>0.272727272727263</v>
      </c>
    </row>
    <row r="24" customFormat="false" ht="12.8" hidden="false" customHeight="false" outlineLevel="0" collapsed="false">
      <c r="B24" s="0" t="n">
        <v>-2</v>
      </c>
      <c r="C24" s="0" t="n">
        <v>-1</v>
      </c>
      <c r="D24" s="0" t="n">
        <v>-0.5</v>
      </c>
      <c r="E24" s="0" t="n">
        <v>0</v>
      </c>
      <c r="F24" s="0" t="n">
        <v>0.5</v>
      </c>
      <c r="G24" s="0" t="n">
        <v>1</v>
      </c>
      <c r="H24" s="0" t="n">
        <v>2</v>
      </c>
    </row>
    <row r="25" customFormat="false" ht="12.8" hidden="false" customHeight="false" outlineLevel="0" collapsed="false">
      <c r="A25" s="0" t="n">
        <v>0</v>
      </c>
      <c r="B25" s="2" t="n">
        <v>51.7272727272727</v>
      </c>
      <c r="C25" s="2" t="n">
        <v>52.1818181818182</v>
      </c>
      <c r="D25" s="2" t="n">
        <v>49.0909090909091</v>
      </c>
      <c r="E25" s="2" t="n">
        <v>58.1818181818182</v>
      </c>
      <c r="F25" s="2" t="n">
        <v>61.0909090909091</v>
      </c>
      <c r="G25" s="2" t="n">
        <v>63.4545454545454</v>
      </c>
      <c r="H25" s="2" t="n">
        <v>66.8181818181818</v>
      </c>
    </row>
    <row r="26" customFormat="false" ht="12.8" hidden="false" customHeight="false" outlineLevel="0" collapsed="false">
      <c r="A26" s="0" t="n">
        <v>1</v>
      </c>
      <c r="B26" s="2" t="n">
        <v>40.8181818181818</v>
      </c>
      <c r="C26" s="2" t="n">
        <v>39.8181818181818</v>
      </c>
      <c r="D26" s="2" t="n">
        <v>36.9090909090909</v>
      </c>
      <c r="E26" s="2" t="n">
        <v>45.9090909090909</v>
      </c>
      <c r="F26" s="2" t="n">
        <v>50.8181818181818</v>
      </c>
      <c r="G26" s="2" t="n">
        <v>52.1818181818182</v>
      </c>
      <c r="H26" s="2" t="n">
        <v>56.9090909090909</v>
      </c>
    </row>
    <row r="27" customFormat="false" ht="12.8" hidden="false" customHeight="false" outlineLevel="0" collapsed="false">
      <c r="A27" s="0" t="n">
        <v>2</v>
      </c>
      <c r="B27" s="2" t="n">
        <v>29.4545454545455</v>
      </c>
      <c r="C27" s="2" t="n">
        <v>28.8181818181818</v>
      </c>
      <c r="D27" s="2" t="n">
        <v>26.9090909090909</v>
      </c>
      <c r="E27" s="2" t="n">
        <v>34.5454545454545</v>
      </c>
      <c r="F27" s="2" t="n">
        <v>38.9090909090909</v>
      </c>
      <c r="G27" s="2" t="n">
        <v>40.5454545454545</v>
      </c>
      <c r="H27" s="2" t="n">
        <v>44.2727272727273</v>
      </c>
    </row>
    <row r="28" customFormat="false" ht="12.8" hidden="false" customHeight="false" outlineLevel="0" collapsed="false">
      <c r="A28" s="0" t="n">
        <v>3</v>
      </c>
      <c r="B28" s="2" t="n">
        <v>20.3636363636364</v>
      </c>
      <c r="C28" s="2" t="n">
        <v>20</v>
      </c>
      <c r="D28" s="2" t="n">
        <v>18.3636363636364</v>
      </c>
      <c r="E28" s="2" t="n">
        <v>24.8181818181818</v>
      </c>
      <c r="F28" s="2" t="n">
        <v>28.3636363636364</v>
      </c>
      <c r="G28" s="2" t="n">
        <v>30.6363636363636</v>
      </c>
      <c r="H28" s="2" t="n">
        <v>33.2727272727273</v>
      </c>
    </row>
    <row r="29" customFormat="false" ht="12.8" hidden="false" customHeight="false" outlineLevel="0" collapsed="false">
      <c r="A29" s="0" t="n">
        <v>4</v>
      </c>
      <c r="B29" s="2" t="n">
        <v>12.9090909090909</v>
      </c>
      <c r="C29" s="2" t="n">
        <v>13.2727272727273</v>
      </c>
      <c r="D29" s="2" t="n">
        <v>12.1818181818182</v>
      </c>
      <c r="E29" s="2" t="n">
        <v>17.0909090909091</v>
      </c>
      <c r="F29" s="2" t="n">
        <v>20.0909090909091</v>
      </c>
      <c r="G29" s="2" t="n">
        <v>21.1818181818182</v>
      </c>
      <c r="H29" s="2" t="n">
        <v>24.0909090909091</v>
      </c>
    </row>
    <row r="30" customFormat="false" ht="12.8" hidden="false" customHeight="false" outlineLevel="0" collapsed="false">
      <c r="A30" s="0" t="n">
        <v>5</v>
      </c>
      <c r="B30" s="2" t="n">
        <v>7.90909090909091</v>
      </c>
      <c r="C30" s="2" t="n">
        <v>8.27272727272727</v>
      </c>
      <c r="D30" s="2" t="n">
        <v>7.45454545454546</v>
      </c>
      <c r="E30" s="2" t="n">
        <v>11.1818181818182</v>
      </c>
      <c r="F30" s="2" t="n">
        <v>13.3636363636364</v>
      </c>
      <c r="G30" s="2" t="n">
        <v>14.7272727272727</v>
      </c>
      <c r="H30" s="2" t="n">
        <v>16.9090909090909</v>
      </c>
    </row>
    <row r="31" customFormat="false" ht="12.8" hidden="false" customHeight="false" outlineLevel="0" collapsed="false">
      <c r="A31" s="0" t="n">
        <v>6</v>
      </c>
      <c r="B31" s="2" t="n">
        <v>4.09090909090909</v>
      </c>
      <c r="C31" s="2" t="n">
        <v>4.81818181818181</v>
      </c>
      <c r="D31" s="2" t="n">
        <v>4.45454545454545</v>
      </c>
      <c r="E31" s="2" t="n">
        <v>7.0909090909091</v>
      </c>
      <c r="F31" s="2" t="n">
        <v>8.90909090909092</v>
      </c>
      <c r="G31" s="2" t="n">
        <v>9.81818181818181</v>
      </c>
      <c r="H31" s="2" t="n">
        <v>11.7272727272727</v>
      </c>
    </row>
    <row r="32" customFormat="false" ht="12.8" hidden="false" customHeight="false" outlineLevel="0" collapsed="false">
      <c r="A32" s="0" t="n">
        <v>7</v>
      </c>
      <c r="B32" s="2" t="n">
        <v>1.9090909090909</v>
      </c>
      <c r="C32" s="2" t="n">
        <v>2.45454545454545</v>
      </c>
      <c r="D32" s="2" t="n">
        <v>2.27272727272726</v>
      </c>
      <c r="E32" s="2" t="n">
        <v>4.18181818181819</v>
      </c>
      <c r="F32" s="2" t="n">
        <v>5.63636363636364</v>
      </c>
      <c r="G32" s="2" t="n">
        <v>6.18181818181819</v>
      </c>
      <c r="H32" s="2" t="n">
        <v>7.72727272727272</v>
      </c>
    </row>
    <row r="33" customFormat="false" ht="12.8" hidden="false" customHeight="false" outlineLevel="0" collapsed="false">
      <c r="A33" s="0" t="n">
        <v>8</v>
      </c>
      <c r="B33" s="2" t="n">
        <v>0.272727272727263</v>
      </c>
      <c r="C33" s="2" t="n">
        <v>0.999999999999991</v>
      </c>
      <c r="D33" s="2" t="n">
        <v>1.45454545454546</v>
      </c>
      <c r="E33" s="2" t="n">
        <v>2.18181818181818</v>
      </c>
      <c r="F33" s="2" t="n">
        <v>3.36363636363636</v>
      </c>
      <c r="G33" s="2" t="n">
        <v>4</v>
      </c>
      <c r="H33" s="2" t="n">
        <v>5.0909090909091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&amp;CStránka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2024-09-13T13:20:28Z</dcterms:created>
  <dc:creator/>
  <dc:description/>
  <dc:language>cs-CZ</dc:language>
  <cp:lastModifiedBy/>
  <dcterms:modified xsi:type="dcterms:W3CDTF">2024-11-07T13:21:20Z</dcterms:modified>
  <cp:revision>4</cp:revision>
  <dc:subject/>
  <dc:title/>
</cp:coreProperties>
</file>