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C Current" sheetId="1" state="visible" r:id="rId2"/>
    <sheet name="AC Current" sheetId="2" state="visible" r:id="rId3"/>
    <sheet name="Efficiency" sheetId="3" state="visible" r:id="rId4"/>
    <sheet name="Dynamic Response" sheetId="4" state="visible" r:id="rId5"/>
    <sheet name="Thermal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<sst xmlns="http://schemas.openxmlformats.org/spreadsheetml/2006/main" count="106" uniqueCount="54">
  <si>
    <t xml:space="preserve">Bylo by dobré zjistit kritickou minimální indukčnost při které to jede</t>
  </si>
  <si>
    <t xml:space="preserve">Uvstupní = 12 V / 1Ohm zátěž / 720uH</t>
  </si>
  <si>
    <t xml:space="preserve">Přístroje</t>
  </si>
  <si>
    <t xml:space="preserve">Voltmetr DC, Ampérmetr AC,DC, Reaostat, Cívka</t>
  </si>
  <si>
    <t xml:space="preserve">Inastavený (A)</t>
  </si>
  <si>
    <t xml:space="preserve">Ivýstup (A)</t>
  </si>
  <si>
    <t xml:space="preserve">peaktopeak</t>
  </si>
  <si>
    <t xml:space="preserve">Izvlnění (A)</t>
  </si>
  <si>
    <t xml:space="preserve">Zvlnění [%]</t>
  </si>
  <si>
    <t xml:space="preserve">Grafy</t>
  </si>
  <si>
    <t xml:space="preserve">Závislost relativního zvlnění proudu na výstupním proudu [%]:</t>
  </si>
  <si>
    <t xml:space="preserve">IRMS</t>
  </si>
  <si>
    <t xml:space="preserve">Přesnost nastaveného proudu v závislosti na nastavené hodnotě:</t>
  </si>
  <si>
    <t xml:space="preserve">Vliv vstupního napětí na reálný výstupní proud (pro vybrané konstantní nastavení proudu):</t>
  </si>
  <si>
    <t xml:space="preserve">Uvstupní = 48 V  / 1 Ohm zátěž / 720uH</t>
  </si>
  <si>
    <t xml:space="preserve">Uvstupní = 48 V  / 3 Ohm zátěž / 720uH</t>
  </si>
  <si>
    <t xml:space="preserve">Uvstupní = 12 V</t>
  </si>
  <si>
    <t xml:space="preserve">Uvstupní = 48 V</t>
  </si>
  <si>
    <t xml:space="preserve">Inastavený = 1 A</t>
  </si>
  <si>
    <t xml:space="preserve">Inastavený = 8 A</t>
  </si>
  <si>
    <t xml:space="preserve">Uzátěž (V)</t>
  </si>
  <si>
    <t xml:space="preserve">Sin 10 Hz</t>
  </si>
  <si>
    <t xml:space="preserve">Obdélník 10 Hz</t>
  </si>
  <si>
    <t xml:space="preserve">Trojúhelník 10 Hz</t>
  </si>
  <si>
    <t xml:space="preserve">I_m_nastavený [A]</t>
  </si>
  <si>
    <t xml:space="preserve">Spektralni analyzator, Voltmetr AC, Ampérmetr AC,DC, Reaostat, Cívka</t>
  </si>
  <si>
    <t xml:space="preserve">I_ef_výstup [A]</t>
  </si>
  <si>
    <t xml:space="preserve">I1 [dBA]</t>
  </si>
  <si>
    <t xml:space="preserve">I1 [A]</t>
  </si>
  <si>
    <t xml:space="preserve">THD [%]</t>
  </si>
  <si>
    <t xml:space="preserve">Idealni obdelnik ma 48.3% THD</t>
  </si>
  <si>
    <t xml:space="preserve">Troj 12,1 %?</t>
  </si>
  <si>
    <t xml:space="preserve">Stejnosměrný</t>
  </si>
  <si>
    <t xml:space="preserve">2x Wattmetr,  Reostat, Indukčnost</t>
  </si>
  <si>
    <t xml:space="preserve">Uvstupní = 12 V / R = 1,2 ohm</t>
  </si>
  <si>
    <t xml:space="preserve">Inastavený [A]</t>
  </si>
  <si>
    <t xml:space="preserve">R</t>
  </si>
  <si>
    <t xml:space="preserve">IvýstRMS</t>
  </si>
  <si>
    <t xml:space="preserve">P(W)</t>
  </si>
  <si>
    <t xml:space="preserve">Pvst</t>
  </si>
  <si>
    <t xml:space="preserve">Účinnost [%]</t>
  </si>
  <si>
    <t xml:space="preserve">Uvstupní = 31 V / R =1,2 ohm</t>
  </si>
  <si>
    <t xml:space="preserve">IvýstDC</t>
  </si>
  <si>
    <t xml:space="preserve">PvstRMS</t>
  </si>
  <si>
    <t xml:space="preserve">Skoková změna zátěže 10% -&gt; 90%</t>
  </si>
  <si>
    <t xml:space="preserve">Skoková změna zátěže 90% -&gt; 10%</t>
  </si>
  <si>
    <t xml:space="preserve">Poznámky (překmity, oscilace)</t>
  </si>
  <si>
    <t xml:space="preserve">Přístroje:</t>
  </si>
  <si>
    <t xml:space="preserve">Osciloskop, elektronická zátěž</t>
  </si>
  <si>
    <t xml:space="preserve">Nastavený výstupní proud zdroje: [Konstantní hodnota] A</t>
  </si>
  <si>
    <t xml:space="preserve">dam jen screeny z osciloskopu</t>
  </si>
  <si>
    <t xml:space="preserve">Rozsah skokové změny odebíraného proudu zátěží: [Např. 10% -&gt; 90% I_max]</t>
  </si>
  <si>
    <t xml:space="preserve">Termokamera, reostat, indukčnost</t>
  </si>
  <si>
    <t xml:space="preserve">Fotky termokamerou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</si>
</sst>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Procentuální zvlnění výstupního proudu 
1 Ω/ 720 μH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75398600389582"/>
          <c:y val="0.217417417417417"/>
          <c:w val="0.737392684510497"/>
          <c:h val="0.627198627198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12_v</c:f>
              <c:strCache>
                <c:ptCount val="1"/>
                <c:pt idx="0">
                  <c:v>12_v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'DC Current'!$C$10:$J$10</c:f>
              <c:numCache>
                <c:formatCode>General</c:formatCode>
                <c:ptCount val="8"/>
                <c:pt idx="0">
                  <c:v>-8.32</c:v>
                </c:pt>
                <c:pt idx="1">
                  <c:v>-4.164</c:v>
                </c:pt>
                <c:pt idx="2">
                  <c:v>-1.015</c:v>
                </c:pt>
                <c:pt idx="3">
                  <c:v>-0.104</c:v>
                </c:pt>
                <c:pt idx="4">
                  <c:v>0.154</c:v>
                </c:pt>
                <c:pt idx="5">
                  <c:v>0.987</c:v>
                </c:pt>
                <c:pt idx="6">
                  <c:v>4.067</c:v>
                </c:pt>
                <c:pt idx="7">
                  <c:v>8.21</c:v>
                </c:pt>
              </c:numCache>
            </c:numRef>
          </c:xVal>
          <c:yVal>
            <c:numRef>
              <c:f>'DC Current'!$C$12:$J$12</c:f>
              <c:numCache>
                <c:formatCode>General</c:formatCode>
                <c:ptCount val="8"/>
                <c:pt idx="0">
                  <c:v>0.348557692307692</c:v>
                </c:pt>
                <c:pt idx="1">
                  <c:v>0.552353506243996</c:v>
                </c:pt>
                <c:pt idx="2">
                  <c:v>1.37931034482759</c:v>
                </c:pt>
                <c:pt idx="3">
                  <c:v>10.5769230769231</c:v>
                </c:pt>
                <c:pt idx="4">
                  <c:v>11.6883116883117</c:v>
                </c:pt>
                <c:pt idx="5">
                  <c:v>1.41843971631206</c:v>
                </c:pt>
                <c:pt idx="6">
                  <c:v>0.540939267273174</c:v>
                </c:pt>
                <c:pt idx="7">
                  <c:v>0.316686967113276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48_v</c:f>
              <c:strCache>
                <c:ptCount val="1"/>
                <c:pt idx="0">
                  <c:v>48_v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'DC Current'!$C$17:$J$17</c:f>
              <c:numCache>
                <c:formatCode>General</c:formatCode>
                <c:ptCount val="8"/>
                <c:pt idx="0">
                  <c:v>-8.36</c:v>
                </c:pt>
                <c:pt idx="1">
                  <c:v>-4.364</c:v>
                </c:pt>
                <c:pt idx="2">
                  <c:v>-1.058</c:v>
                </c:pt>
                <c:pt idx="3">
                  <c:v>-0.244</c:v>
                </c:pt>
                <c:pt idx="4">
                  <c:v>0.14</c:v>
                </c:pt>
                <c:pt idx="5">
                  <c:v>1.04</c:v>
                </c:pt>
                <c:pt idx="6">
                  <c:v>4.353</c:v>
                </c:pt>
                <c:pt idx="7">
                  <c:v>8.42</c:v>
                </c:pt>
              </c:numCache>
            </c:numRef>
          </c:xVal>
          <c:yVal>
            <c:numRef>
              <c:f>'DC Current'!$C$19:$J$19</c:f>
              <c:numCache>
                <c:formatCode>General</c:formatCode>
                <c:ptCount val="8"/>
                <c:pt idx="0">
                  <c:v>15.4186602870813</c:v>
                </c:pt>
                <c:pt idx="1">
                  <c:v>10.7699358386801</c:v>
                </c:pt>
                <c:pt idx="2">
                  <c:v>9.26275992438563</c:v>
                </c:pt>
                <c:pt idx="3">
                  <c:v>18.4426229508197</c:v>
                </c:pt>
                <c:pt idx="4">
                  <c:v>17.1428571428571</c:v>
                </c:pt>
                <c:pt idx="5">
                  <c:v>7.98076923076923</c:v>
                </c:pt>
                <c:pt idx="6">
                  <c:v>10.1768895014932</c:v>
                </c:pt>
                <c:pt idx="7">
                  <c:v>16.0332541567696</c:v>
                </c:pt>
              </c:numCache>
            </c:numRef>
          </c:yVal>
          <c:smooth val="1"/>
        </c:ser>
        <c:axId val="45565830"/>
        <c:axId val="96829042"/>
      </c:scatterChart>
      <c:valAx>
        <c:axId val="4556583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Výstupní stejnosměrný proud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6829042"/>
        <c:crosses val="autoZero"/>
        <c:crossBetween val="midCat"/>
      </c:valAx>
      <c:valAx>
        <c:axId val="968290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Proud zvlnění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556583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49033467974611"/>
          <c:y val="0.261388007205971"/>
          <c:w val="0.139868715285292"/>
          <c:h val="0.10440974605353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Závislost výstupního proudu na nastaveném proudu
1 Ω/ 720 μH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75398600389582"/>
          <c:y val="0.217331617331617"/>
          <c:w val="0.678233893658466"/>
          <c:h val="0.627112827112827"/>
        </c:manualLayout>
      </c:layout>
      <c:scatterChart>
        <c:scatterStyle val="lineMarker"/>
        <c:varyColors val="0"/>
        <c:ser>
          <c:idx val="0"/>
          <c:order val="0"/>
          <c:tx>
            <c:strRef>
              <c:f>12v_1ohm</c:f>
              <c:strCache>
                <c:ptCount val="1"/>
                <c:pt idx="0">
                  <c:v>12v_1ohm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'DC Current'!$C$9:$J$9</c:f>
              <c:numCache>
                <c:formatCode>General</c:formatCode>
                <c:ptCount val="8"/>
                <c:pt idx="0">
                  <c:v>-8</c:v>
                </c:pt>
                <c:pt idx="1">
                  <c:v>-4</c:v>
                </c:pt>
                <c:pt idx="2">
                  <c:v>-1</c:v>
                </c:pt>
                <c:pt idx="3">
                  <c:v>-0.1</c:v>
                </c:pt>
                <c:pt idx="4">
                  <c:v>0.1</c:v>
                </c:pt>
                <c:pt idx="5">
                  <c:v>1</c:v>
                </c:pt>
                <c:pt idx="6">
                  <c:v>4</c:v>
                </c:pt>
                <c:pt idx="7">
                  <c:v>8</c:v>
                </c:pt>
              </c:numCache>
            </c:numRef>
          </c:xVal>
          <c:yVal>
            <c:numRef>
              <c:f>'DC Current'!$C$10:$J$10</c:f>
              <c:numCache>
                <c:formatCode>General</c:formatCode>
                <c:ptCount val="8"/>
                <c:pt idx="0">
                  <c:v>-8.32</c:v>
                </c:pt>
                <c:pt idx="1">
                  <c:v>-4.164</c:v>
                </c:pt>
                <c:pt idx="2">
                  <c:v>-1.015</c:v>
                </c:pt>
                <c:pt idx="3">
                  <c:v>-0.104</c:v>
                </c:pt>
                <c:pt idx="4">
                  <c:v>0.154</c:v>
                </c:pt>
                <c:pt idx="5">
                  <c:v>0.987</c:v>
                </c:pt>
                <c:pt idx="6">
                  <c:v>4.067</c:v>
                </c:pt>
                <c:pt idx="7">
                  <c:v>8.21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48v_1ohm</c:f>
              <c:strCache>
                <c:ptCount val="1"/>
                <c:pt idx="0">
                  <c:v>48v_1ohm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'DC Current'!$C$9:$J$9</c:f>
              <c:numCache>
                <c:formatCode>General</c:formatCode>
                <c:ptCount val="8"/>
                <c:pt idx="0">
                  <c:v>-8</c:v>
                </c:pt>
                <c:pt idx="1">
                  <c:v>-4</c:v>
                </c:pt>
                <c:pt idx="2">
                  <c:v>-1</c:v>
                </c:pt>
                <c:pt idx="3">
                  <c:v>-0.1</c:v>
                </c:pt>
                <c:pt idx="4">
                  <c:v>0.1</c:v>
                </c:pt>
                <c:pt idx="5">
                  <c:v>1</c:v>
                </c:pt>
                <c:pt idx="6">
                  <c:v>4</c:v>
                </c:pt>
                <c:pt idx="7">
                  <c:v>8</c:v>
                </c:pt>
              </c:numCache>
            </c:numRef>
          </c:xVal>
          <c:yVal>
            <c:numRef>
              <c:f>'DC Current'!$C$17:$J$17</c:f>
              <c:numCache>
                <c:formatCode>General</c:formatCode>
                <c:ptCount val="8"/>
                <c:pt idx="0">
                  <c:v>-8.36</c:v>
                </c:pt>
                <c:pt idx="1">
                  <c:v>-4.364</c:v>
                </c:pt>
                <c:pt idx="2">
                  <c:v>-1.058</c:v>
                </c:pt>
                <c:pt idx="3">
                  <c:v>-0.244</c:v>
                </c:pt>
                <c:pt idx="4">
                  <c:v>0.14</c:v>
                </c:pt>
                <c:pt idx="5">
                  <c:v>1.04</c:v>
                </c:pt>
                <c:pt idx="6">
                  <c:v>4.353</c:v>
                </c:pt>
                <c:pt idx="7">
                  <c:v>8.42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48v_3ohm</c:f>
              <c:strCache>
                <c:ptCount val="1"/>
                <c:pt idx="0">
                  <c:v>48v_3ohm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'DC Current'!$C$23:$J$23</c:f>
              <c:numCache>
                <c:formatCode>General</c:formatCode>
                <c:ptCount val="8"/>
                <c:pt idx="0">
                  <c:v>-8</c:v>
                </c:pt>
                <c:pt idx="1">
                  <c:v>-4</c:v>
                </c:pt>
                <c:pt idx="2">
                  <c:v>-1</c:v>
                </c:pt>
                <c:pt idx="3">
                  <c:v>-0.1</c:v>
                </c:pt>
                <c:pt idx="4">
                  <c:v>0.1</c:v>
                </c:pt>
                <c:pt idx="5">
                  <c:v>1</c:v>
                </c:pt>
                <c:pt idx="6">
                  <c:v>4</c:v>
                </c:pt>
                <c:pt idx="7">
                  <c:v>8</c:v>
                </c:pt>
              </c:numCache>
            </c:numRef>
          </c:xVal>
          <c:yVal>
            <c:numRef>
              <c:f>'DC Current'!$C$24:$J$24</c:f>
              <c:numCache>
                <c:formatCode>General</c:formatCode>
                <c:ptCount val="8"/>
                <c:pt idx="0">
                  <c:v>-8.2</c:v>
                </c:pt>
                <c:pt idx="1">
                  <c:v>-4.155</c:v>
                </c:pt>
                <c:pt idx="2">
                  <c:v>-1.084</c:v>
                </c:pt>
                <c:pt idx="3">
                  <c:v>-0.236</c:v>
                </c:pt>
                <c:pt idx="4">
                  <c:v>0.111</c:v>
                </c:pt>
                <c:pt idx="5">
                  <c:v>0.91</c:v>
                </c:pt>
                <c:pt idx="6">
                  <c:v>4.004</c:v>
                </c:pt>
                <c:pt idx="7">
                  <c:v>7.9</c:v>
                </c:pt>
              </c:numCache>
            </c:numRef>
          </c:yVal>
          <c:smooth val="1"/>
        </c:ser>
        <c:axId val="20976574"/>
        <c:axId val="32463344"/>
      </c:scatterChart>
      <c:valAx>
        <c:axId val="2097657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Nastavený proud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2463344"/>
        <c:crosses val="autoZero"/>
        <c:crossBetween val="midCat"/>
      </c:valAx>
      <c:valAx>
        <c:axId val="324633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Efektivní hodnota proudu na výstupu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097657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89671090594345"/>
          <c:y val="0.261388007205971"/>
          <c:w val="0.199235374738513"/>
          <c:h val="0.26080988332189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Závislost výstupního proudu na změně zátěže
Nastavený proud = 1 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74520185307743"/>
          <c:y val="0.172150814053128"/>
          <c:w val="0.737315243767924"/>
          <c:h val="0.672322193658955"/>
        </c:manualLayout>
      </c:layout>
      <c:scatterChart>
        <c:scatterStyle val="lineMarker"/>
        <c:varyColors val="0"/>
        <c:ser>
          <c:idx val="0"/>
          <c:order val="0"/>
          <c:tx>
            <c:strRef>
              <c:f>12v</c:f>
              <c:strCache>
                <c:ptCount val="1"/>
                <c:pt idx="0">
                  <c:v>12v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'DC Current'!$C$43:$C$50</c:f>
              <c:numCache>
                <c:formatCode>General</c:formatCode>
                <c:ptCount val="8"/>
                <c:pt idx="0">
                  <c:v>1.135</c:v>
                </c:pt>
                <c:pt idx="1">
                  <c:v>1.173</c:v>
                </c:pt>
                <c:pt idx="2">
                  <c:v>1.225</c:v>
                </c:pt>
                <c:pt idx="3">
                  <c:v>1.268</c:v>
                </c:pt>
                <c:pt idx="4">
                  <c:v>1.315</c:v>
                </c:pt>
                <c:pt idx="5">
                  <c:v>1.356</c:v>
                </c:pt>
                <c:pt idx="6">
                  <c:v>1.373</c:v>
                </c:pt>
                <c:pt idx="7">
                  <c:v>1.367</c:v>
                </c:pt>
              </c:numCache>
            </c:numRef>
          </c:xVal>
          <c:yVal>
            <c:numRef>
              <c:f>'DC Current'!$B$43:$B$50</c:f>
              <c:numCache>
                <c:formatCode>General</c:formatCode>
                <c:ptCount val="8"/>
                <c:pt idx="0">
                  <c:v>3.674</c:v>
                </c:pt>
                <c:pt idx="1">
                  <c:v>3.0792</c:v>
                </c:pt>
                <c:pt idx="2">
                  <c:v>2.4452</c:v>
                </c:pt>
                <c:pt idx="3">
                  <c:v>1.7472</c:v>
                </c:pt>
                <c:pt idx="4">
                  <c:v>1.276</c:v>
                </c:pt>
                <c:pt idx="5">
                  <c:v>0.9424</c:v>
                </c:pt>
                <c:pt idx="6">
                  <c:v>0.6492</c:v>
                </c:pt>
                <c:pt idx="7">
                  <c:v>0.6185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48v</c:f>
              <c:strCache>
                <c:ptCount val="1"/>
                <c:pt idx="0">
                  <c:v>48v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'DC Current'!$J$43:$J$50</c:f>
              <c:numCache>
                <c:formatCode>General</c:formatCode>
                <c:ptCount val="8"/>
                <c:pt idx="0">
                  <c:v>0.9</c:v>
                </c:pt>
                <c:pt idx="1">
                  <c:v>0.9</c:v>
                </c:pt>
                <c:pt idx="2">
                  <c:v>0.91</c:v>
                </c:pt>
                <c:pt idx="3">
                  <c:v>0.92</c:v>
                </c:pt>
                <c:pt idx="4">
                  <c:v>0.942</c:v>
                </c:pt>
                <c:pt idx="5">
                  <c:v>0.942</c:v>
                </c:pt>
                <c:pt idx="6">
                  <c:v>0.958</c:v>
                </c:pt>
                <c:pt idx="7">
                  <c:v>0.951</c:v>
                </c:pt>
              </c:numCache>
            </c:numRef>
          </c:xVal>
          <c:yVal>
            <c:numRef>
              <c:f>'DC Current'!$I$43:$I$50</c:f>
              <c:numCache>
                <c:formatCode>General</c:formatCode>
                <c:ptCount val="8"/>
                <c:pt idx="0">
                  <c:v>2.81</c:v>
                </c:pt>
                <c:pt idx="1">
                  <c:v>2.406</c:v>
                </c:pt>
                <c:pt idx="2">
                  <c:v>1.974</c:v>
                </c:pt>
                <c:pt idx="3">
                  <c:v>1.658</c:v>
                </c:pt>
                <c:pt idx="4">
                  <c:v>1.3396</c:v>
                </c:pt>
                <c:pt idx="5">
                  <c:v>0.9366</c:v>
                </c:pt>
                <c:pt idx="6">
                  <c:v>0.5276</c:v>
                </c:pt>
                <c:pt idx="7">
                  <c:v>0.4224</c:v>
                </c:pt>
              </c:numCache>
            </c:numRef>
          </c:yVal>
          <c:smooth val="1"/>
        </c:ser>
        <c:axId val="15920759"/>
        <c:axId val="9157712"/>
      </c:scatterChart>
      <c:valAx>
        <c:axId val="1592075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Výstupní proud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157712"/>
        <c:crosses val="autoZero"/>
        <c:crossBetween val="midCat"/>
      </c:valAx>
      <c:valAx>
        <c:axId val="91577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Napětí zátěže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92075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48957758905923"/>
          <c:y val="0.261309115832762"/>
          <c:w val="0.139800363977279"/>
          <c:h val="0.21634821352069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Závislost výstupního proudu na změně zátěže
Nastavený proud = 8 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74520185307743"/>
          <c:y val="0.172150814053128"/>
          <c:w val="0.737315243767924"/>
          <c:h val="0.672322193658955"/>
        </c:manualLayout>
      </c:layout>
      <c:scatterChart>
        <c:scatterStyle val="lineMarker"/>
        <c:varyColors val="0"/>
        <c:ser>
          <c:idx val="0"/>
          <c:order val="0"/>
          <c:tx>
            <c:strRef>
              <c:f>12v</c:f>
              <c:strCache>
                <c:ptCount val="1"/>
                <c:pt idx="0">
                  <c:v>12v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'DC Current'!$F$43:$F$50</c:f>
              <c:numCache>
                <c:formatCode>General</c:formatCode>
                <c:ptCount val="8"/>
                <c:pt idx="0">
                  <c:v>8.23</c:v>
                </c:pt>
                <c:pt idx="1">
                  <c:v>8.6</c:v>
                </c:pt>
                <c:pt idx="2">
                  <c:v>8.69</c:v>
                </c:pt>
                <c:pt idx="3">
                  <c:v>8.81</c:v>
                </c:pt>
                <c:pt idx="4">
                  <c:v>8.89</c:v>
                </c:pt>
                <c:pt idx="5">
                  <c:v>9.06</c:v>
                </c:pt>
                <c:pt idx="6">
                  <c:v>9.12</c:v>
                </c:pt>
                <c:pt idx="7">
                  <c:v>9.17</c:v>
                </c:pt>
              </c:numCache>
            </c:numRef>
          </c:xVal>
          <c:yVal>
            <c:numRef>
              <c:f>'DC Current'!$E$43:$E$50</c:f>
              <c:numCache>
                <c:formatCode>General</c:formatCode>
                <c:ptCount val="8"/>
                <c:pt idx="0">
                  <c:v>10.5696</c:v>
                </c:pt>
                <c:pt idx="1">
                  <c:v>9.312</c:v>
                </c:pt>
                <c:pt idx="2">
                  <c:v>8.852</c:v>
                </c:pt>
                <c:pt idx="3">
                  <c:v>8.024</c:v>
                </c:pt>
                <c:pt idx="4">
                  <c:v>6.956</c:v>
                </c:pt>
                <c:pt idx="5">
                  <c:v>5.182</c:v>
                </c:pt>
                <c:pt idx="6">
                  <c:v>4.5734</c:v>
                </c:pt>
                <c:pt idx="7">
                  <c:v>4.1519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48v</c:f>
              <c:strCache>
                <c:ptCount val="1"/>
                <c:pt idx="0">
                  <c:v>48v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'DC Current'!$M$43:$M$50</c:f>
              <c:numCache>
                <c:formatCode>General</c:formatCode>
                <c:ptCount val="8"/>
                <c:pt idx="0">
                  <c:v>8.02</c:v>
                </c:pt>
                <c:pt idx="1">
                  <c:v>8.05</c:v>
                </c:pt>
                <c:pt idx="2">
                  <c:v>8.09</c:v>
                </c:pt>
                <c:pt idx="3">
                  <c:v>8.29</c:v>
                </c:pt>
                <c:pt idx="4">
                  <c:v>8.55</c:v>
                </c:pt>
                <c:pt idx="5">
                  <c:v>8.91</c:v>
                </c:pt>
                <c:pt idx="6">
                  <c:v>9.37</c:v>
                </c:pt>
                <c:pt idx="7">
                  <c:v>9.46</c:v>
                </c:pt>
              </c:numCache>
            </c:numRef>
          </c:xVal>
          <c:yVal>
            <c:numRef>
              <c:f>'DC Current'!$L$43:$L$50</c:f>
              <c:numCache>
                <c:formatCode>General</c:formatCode>
                <c:ptCount val="8"/>
                <c:pt idx="0">
                  <c:v>25.242</c:v>
                </c:pt>
                <c:pt idx="1">
                  <c:v>20.853</c:v>
                </c:pt>
                <c:pt idx="2">
                  <c:v>17.678</c:v>
                </c:pt>
                <c:pt idx="3">
                  <c:v>14.785</c:v>
                </c:pt>
                <c:pt idx="4">
                  <c:v>12.02</c:v>
                </c:pt>
                <c:pt idx="5">
                  <c:v>9.362</c:v>
                </c:pt>
                <c:pt idx="6">
                  <c:v>5.1668</c:v>
                </c:pt>
                <c:pt idx="7">
                  <c:v>4.184</c:v>
                </c:pt>
              </c:numCache>
            </c:numRef>
          </c:yVal>
          <c:smooth val="1"/>
        </c:ser>
        <c:axId val="36886096"/>
        <c:axId val="49408854"/>
      </c:scatterChart>
      <c:valAx>
        <c:axId val="3688609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Výstupní proud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9408854"/>
        <c:crosses val="autoZero"/>
        <c:crossBetween val="midCat"/>
      </c:valAx>
      <c:valAx>
        <c:axId val="494088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Napětí zátěže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88609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48957758905923"/>
          <c:y val="0.261309115832762"/>
          <c:w val="0.139800363977279"/>
          <c:h val="0.21634821352069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5341320</xdr:colOff>
      <xdr:row>31</xdr:row>
      <xdr:rowOff>122400</xdr:rowOff>
    </xdr:from>
    <xdr:to>
      <xdr:col>19</xdr:col>
      <xdr:colOff>572400</xdr:colOff>
      <xdr:row>57</xdr:row>
      <xdr:rowOff>91080</xdr:rowOff>
    </xdr:to>
    <xdr:graphicFrame>
      <xdr:nvGraphicFramePr>
        <xdr:cNvPr id="0" name=""/>
        <xdr:cNvGraphicFramePr/>
      </xdr:nvGraphicFramePr>
      <xdr:xfrm>
        <a:off x="15827760" y="5161680"/>
        <a:ext cx="4989600" cy="419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5160600</xdr:colOff>
      <xdr:row>3</xdr:row>
      <xdr:rowOff>30240</xdr:rowOff>
    </xdr:from>
    <xdr:to>
      <xdr:col>19</xdr:col>
      <xdr:colOff>391680</xdr:colOff>
      <xdr:row>28</xdr:row>
      <xdr:rowOff>161640</xdr:rowOff>
    </xdr:to>
    <xdr:graphicFrame>
      <xdr:nvGraphicFramePr>
        <xdr:cNvPr id="1" name=""/>
        <xdr:cNvGraphicFramePr/>
      </xdr:nvGraphicFramePr>
      <xdr:xfrm>
        <a:off x="15647040" y="518040"/>
        <a:ext cx="4989600" cy="419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652320</xdr:colOff>
      <xdr:row>58</xdr:row>
      <xdr:rowOff>75600</xdr:rowOff>
    </xdr:from>
    <xdr:to>
      <xdr:col>13</xdr:col>
      <xdr:colOff>4741200</xdr:colOff>
      <xdr:row>84</xdr:row>
      <xdr:rowOff>49680</xdr:rowOff>
    </xdr:to>
    <xdr:graphicFrame>
      <xdr:nvGraphicFramePr>
        <xdr:cNvPr id="2" name=""/>
        <xdr:cNvGraphicFramePr/>
      </xdr:nvGraphicFramePr>
      <xdr:xfrm>
        <a:off x="8700480" y="9504000"/>
        <a:ext cx="6527160" cy="420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5527440</xdr:colOff>
      <xdr:row>59</xdr:row>
      <xdr:rowOff>112680</xdr:rowOff>
    </xdr:from>
    <xdr:to>
      <xdr:col>21</xdr:col>
      <xdr:colOff>670320</xdr:colOff>
      <xdr:row>85</xdr:row>
      <xdr:rowOff>87120</xdr:rowOff>
    </xdr:to>
    <xdr:graphicFrame>
      <xdr:nvGraphicFramePr>
        <xdr:cNvPr id="3" name=""/>
        <xdr:cNvGraphicFramePr/>
      </xdr:nvGraphicFramePr>
      <xdr:xfrm>
        <a:off x="16013880" y="9703800"/>
        <a:ext cx="6527160" cy="420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6:N5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33" activeCellId="0" sqref="J33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13.86"/>
    <col collapsed="false" customWidth="true" hidden="false" outlineLevel="0" max="3" min="3" style="1" width="10.54"/>
    <col collapsed="false" customWidth="true" hidden="false" outlineLevel="0" max="4" min="4" style="1" width="10.84"/>
    <col collapsed="false" customWidth="true" hidden="false" outlineLevel="0" max="5" min="5" style="1" width="10.68"/>
    <col collapsed="false" customWidth="true" hidden="false" outlineLevel="0" max="6" min="6" style="1" width="10.54"/>
    <col collapsed="false" customWidth="false" hidden="false" outlineLevel="0" max="13" min="7" style="1" width="11.52"/>
    <col collapsed="false" customWidth="true" hidden="false" outlineLevel="0" max="14" min="14" style="1" width="80.71"/>
    <col collapsed="false" customWidth="false" hidden="false" outlineLevel="0" max="1023" min="15" style="1" width="11.52"/>
  </cols>
  <sheetData>
    <row r="6" customFormat="false" ht="12.8" hidden="false" customHeight="false" outlineLevel="0" collapsed="false">
      <c r="N6" s="1" t="s">
        <v>0</v>
      </c>
    </row>
    <row r="7" customFormat="false" ht="12.8" hidden="false" customHeight="false" outlineLevel="0" collapsed="false">
      <c r="B7" s="2"/>
    </row>
    <row r="8" customFormat="false" ht="12.8" hidden="false" customHeight="false" outlineLevel="0" collapsed="false">
      <c r="B8" s="3" t="s">
        <v>1</v>
      </c>
      <c r="C8" s="3"/>
      <c r="D8" s="3"/>
      <c r="E8" s="3"/>
      <c r="F8" s="3"/>
      <c r="G8" s="3"/>
      <c r="H8" s="3"/>
      <c r="I8" s="3"/>
      <c r="J8" s="3"/>
      <c r="M8" s="1" t="s">
        <v>2</v>
      </c>
      <c r="N8" s="1" t="s">
        <v>3</v>
      </c>
    </row>
    <row r="9" customFormat="false" ht="12.8" hidden="false" customHeight="false" outlineLevel="0" collapsed="false">
      <c r="B9" s="4" t="s">
        <v>4</v>
      </c>
      <c r="C9" s="4" t="n">
        <v>-8</v>
      </c>
      <c r="D9" s="4" t="n">
        <v>-4</v>
      </c>
      <c r="E9" s="4" t="n">
        <v>-1</v>
      </c>
      <c r="F9" s="4" t="n">
        <v>-0.1</v>
      </c>
      <c r="G9" s="4" t="n">
        <v>0.1</v>
      </c>
      <c r="H9" s="4" t="n">
        <v>1</v>
      </c>
      <c r="I9" s="4" t="n">
        <v>4</v>
      </c>
      <c r="J9" s="4" t="n">
        <v>8</v>
      </c>
    </row>
    <row r="10" customFormat="false" ht="12.8" hidden="false" customHeight="false" outlineLevel="0" collapsed="false">
      <c r="B10" s="4" t="s">
        <v>5</v>
      </c>
      <c r="C10" s="4" t="n">
        <v>-8.32</v>
      </c>
      <c r="D10" s="4" t="n">
        <v>-4.164</v>
      </c>
      <c r="E10" s="4" t="n">
        <v>-1.015</v>
      </c>
      <c r="F10" s="4" t="n">
        <v>-0.104</v>
      </c>
      <c r="G10" s="4" t="n">
        <v>0.154</v>
      </c>
      <c r="H10" s="4" t="n">
        <v>0.987</v>
      </c>
      <c r="I10" s="4" t="n">
        <v>4.067</v>
      </c>
      <c r="J10" s="4" t="n">
        <v>8.21</v>
      </c>
    </row>
    <row r="11" customFormat="false" ht="12.8" hidden="false" customHeight="false" outlineLevel="0" collapsed="false">
      <c r="A11" s="1" t="s">
        <v>6</v>
      </c>
      <c r="B11" s="4" t="s">
        <v>7</v>
      </c>
      <c r="C11" s="4" t="n">
        <v>0.029</v>
      </c>
      <c r="D11" s="4" t="n">
        <v>0.023</v>
      </c>
      <c r="E11" s="4" t="n">
        <v>0.014</v>
      </c>
      <c r="F11" s="4" t="n">
        <v>0.011</v>
      </c>
      <c r="G11" s="4" t="n">
        <v>0.018</v>
      </c>
      <c r="H11" s="4" t="n">
        <v>0.014</v>
      </c>
      <c r="I11" s="4" t="n">
        <v>0.022</v>
      </c>
      <c r="J11" s="4" t="n">
        <v>0.026</v>
      </c>
      <c r="M11" s="2"/>
    </row>
    <row r="12" customFormat="false" ht="12.8" hidden="false" customHeight="false" outlineLevel="0" collapsed="false">
      <c r="B12" s="4" t="s">
        <v>8</v>
      </c>
      <c r="C12" s="4" t="n">
        <f aca="false">ABS(C11/C10*100)</f>
        <v>0.348557692307692</v>
      </c>
      <c r="D12" s="4" t="n">
        <f aca="false">ABS(D11/D10*100)</f>
        <v>0.552353506243996</v>
      </c>
      <c r="E12" s="4" t="n">
        <f aca="false">ABS(E11/E10*100)</f>
        <v>1.37931034482759</v>
      </c>
      <c r="F12" s="4" t="n">
        <f aca="false">ABS(F11/F10*100)</f>
        <v>10.5769230769231</v>
      </c>
      <c r="G12" s="4" t="n">
        <f aca="false">ABS(G11/G10*100)</f>
        <v>11.6883116883117</v>
      </c>
      <c r="H12" s="4" t="n">
        <f aca="false">ABS(H11/H10*100)</f>
        <v>1.41843971631206</v>
      </c>
      <c r="I12" s="4" t="n">
        <f aca="false">ABS(I11/I10*100)</f>
        <v>0.540939267273174</v>
      </c>
      <c r="J12" s="4" t="n">
        <f aca="false">ABS(J11/J10*100)</f>
        <v>0.316686967113276</v>
      </c>
      <c r="M12" s="1" t="s">
        <v>9</v>
      </c>
      <c r="N12" s="5" t="s">
        <v>10</v>
      </c>
    </row>
    <row r="13" customFormat="false" ht="12.8" hidden="false" customHeight="false" outlineLevel="0" collapsed="false">
      <c r="B13" s="4" t="s">
        <v>11</v>
      </c>
      <c r="C13" s="4" t="n">
        <f aca="false">SQRT(C10^2+C11^2)</f>
        <v>8.32005054071188</v>
      </c>
      <c r="D13" s="4" t="n">
        <f aca="false">SQRT(D10^2+D11^2)</f>
        <v>4.16406352016873</v>
      </c>
      <c r="E13" s="4" t="n">
        <f aca="false">SQRT(E10^2+E11^2)</f>
        <v>1.01509654713234</v>
      </c>
      <c r="F13" s="4" t="n">
        <f aca="false">SQRT(F10^2+F11^2)</f>
        <v>0.104580112832221</v>
      </c>
      <c r="G13" s="4" t="n">
        <f aca="false">SQRT(G10^2+G11^2)</f>
        <v>0.155048379546514</v>
      </c>
      <c r="H13" s="4" t="n">
        <f aca="false">SQRT(H10^2+H11^2)</f>
        <v>0.987099285786389</v>
      </c>
      <c r="I13" s="4" t="n">
        <f aca="false">SQRT(I10^2+I11^2)</f>
        <v>4.06705950288412</v>
      </c>
      <c r="J13" s="4" t="n">
        <f aca="false">SQRT(J10^2+J11^2)</f>
        <v>8.2100411692025</v>
      </c>
      <c r="N13" s="5" t="s">
        <v>12</v>
      </c>
    </row>
    <row r="14" customFormat="false" ht="12.8" hidden="false" customHeight="false" outlineLevel="0" collapsed="false">
      <c r="B14" s="6"/>
      <c r="C14" s="6"/>
      <c r="D14" s="6"/>
      <c r="E14" s="6"/>
      <c r="F14" s="6"/>
      <c r="G14" s="6"/>
      <c r="H14" s="6"/>
      <c r="I14" s="6"/>
      <c r="J14" s="6"/>
      <c r="N14" s="5" t="s">
        <v>13</v>
      </c>
    </row>
    <row r="15" customFormat="false" ht="12.8" hidden="false" customHeight="false" outlineLevel="0" collapsed="false">
      <c r="B15" s="3" t="s">
        <v>14</v>
      </c>
      <c r="C15" s="3"/>
      <c r="D15" s="3"/>
      <c r="E15" s="3"/>
      <c r="F15" s="3"/>
      <c r="G15" s="3"/>
      <c r="H15" s="3"/>
      <c r="I15" s="3"/>
      <c r="J15" s="3"/>
      <c r="N15" s="2"/>
    </row>
    <row r="16" customFormat="false" ht="12.8" hidden="false" customHeight="false" outlineLevel="0" collapsed="false">
      <c r="B16" s="4" t="s">
        <v>4</v>
      </c>
      <c r="C16" s="4" t="n">
        <v>-8</v>
      </c>
      <c r="D16" s="4" t="n">
        <v>-4</v>
      </c>
      <c r="E16" s="4" t="n">
        <v>-1</v>
      </c>
      <c r="F16" s="4" t="n">
        <v>-0.1</v>
      </c>
      <c r="G16" s="4" t="n">
        <v>0.1</v>
      </c>
      <c r="H16" s="4" t="n">
        <v>1</v>
      </c>
      <c r="I16" s="4" t="n">
        <v>4</v>
      </c>
      <c r="J16" s="4" t="n">
        <v>8</v>
      </c>
    </row>
    <row r="17" customFormat="false" ht="12.8" hidden="false" customHeight="false" outlineLevel="0" collapsed="false">
      <c r="B17" s="4" t="s">
        <v>5</v>
      </c>
      <c r="C17" s="4" t="n">
        <v>-8.36</v>
      </c>
      <c r="D17" s="4" t="n">
        <v>-4.364</v>
      </c>
      <c r="E17" s="4" t="n">
        <v>-1.058</v>
      </c>
      <c r="F17" s="4" t="n">
        <v>-0.244</v>
      </c>
      <c r="G17" s="6" t="n">
        <v>0.14</v>
      </c>
      <c r="H17" s="4" t="n">
        <v>1.04</v>
      </c>
      <c r="I17" s="4" t="n">
        <v>4.353</v>
      </c>
      <c r="J17" s="4" t="n">
        <v>8.42</v>
      </c>
    </row>
    <row r="18" customFormat="false" ht="12.8" hidden="false" customHeight="false" outlineLevel="0" collapsed="false">
      <c r="B18" s="4" t="s">
        <v>7</v>
      </c>
      <c r="C18" s="4" t="n">
        <v>1.289</v>
      </c>
      <c r="D18" s="4" t="n">
        <v>0.47</v>
      </c>
      <c r="E18" s="4" t="n">
        <v>0.098</v>
      </c>
      <c r="F18" s="4" t="n">
        <v>0.045</v>
      </c>
      <c r="G18" s="4" t="n">
        <v>0.024</v>
      </c>
      <c r="H18" s="4" t="n">
        <v>0.083</v>
      </c>
      <c r="I18" s="4" t="n">
        <v>0.443</v>
      </c>
      <c r="J18" s="4" t="n">
        <v>1.35</v>
      </c>
    </row>
    <row r="19" customFormat="false" ht="12.8" hidden="false" customHeight="false" outlineLevel="0" collapsed="false">
      <c r="B19" s="4" t="s">
        <v>8</v>
      </c>
      <c r="C19" s="4" t="n">
        <f aca="false">ABS(C18/C17*100)</f>
        <v>15.4186602870813</v>
      </c>
      <c r="D19" s="4" t="n">
        <f aca="false">ABS(D18/D17*100)</f>
        <v>10.7699358386801</v>
      </c>
      <c r="E19" s="4" t="n">
        <f aca="false">ABS(E18/E17*100)</f>
        <v>9.26275992438563</v>
      </c>
      <c r="F19" s="4" t="n">
        <f aca="false">ABS(F18/F17*100)</f>
        <v>18.4426229508197</v>
      </c>
      <c r="G19" s="4" t="n">
        <f aca="false">ABS(G18/G17*100)</f>
        <v>17.1428571428571</v>
      </c>
      <c r="H19" s="4" t="n">
        <f aca="false">ABS(H18/H17*100)</f>
        <v>7.98076923076923</v>
      </c>
      <c r="I19" s="4" t="n">
        <f aca="false">ABS(I18/I17*100)</f>
        <v>10.1768895014932</v>
      </c>
      <c r="J19" s="4" t="n">
        <f aca="false">ABS(J18/J17*100)</f>
        <v>16.0332541567696</v>
      </c>
    </row>
    <row r="20" customFormat="false" ht="12.8" hidden="false" customHeight="false" outlineLevel="0" collapsed="false">
      <c r="B20" s="4" t="s">
        <v>11</v>
      </c>
      <c r="C20" s="4" t="n">
        <f aca="false">SQRT(C17^2+C18^2)</f>
        <v>8.45878957061824</v>
      </c>
      <c r="D20" s="4" t="n">
        <f aca="false">SQRT(D17^2+D18^2)</f>
        <v>4.38923638005519</v>
      </c>
      <c r="E20" s="4" t="n">
        <f aca="false">SQRT(E17^2+E18^2)</f>
        <v>1.06252905842617</v>
      </c>
      <c r="F20" s="4" t="n">
        <f aca="false">SQRT(F17^2+F18^2)</f>
        <v>0.248114892741246</v>
      </c>
      <c r="G20" s="4" t="n">
        <f aca="false">SQRT(G17^2+G18^2)</f>
        <v>0.142042247236518</v>
      </c>
      <c r="H20" s="4" t="n">
        <f aca="false">SQRT(H17^2+H18^2)</f>
        <v>1.04330676217496</v>
      </c>
      <c r="I20" s="4" t="n">
        <f aca="false">SQRT(I17^2+I18^2)</f>
        <v>4.37548374468469</v>
      </c>
      <c r="J20" s="4" t="n">
        <f aca="false">SQRT(J17^2+J18^2)</f>
        <v>8.52753774544564</v>
      </c>
    </row>
    <row r="21" customFormat="false" ht="12.8" hidden="false" customHeight="false" outlineLevel="0" collapsed="false">
      <c r="B21" s="6"/>
      <c r="C21" s="6"/>
      <c r="D21" s="6"/>
      <c r="E21" s="6"/>
      <c r="F21" s="6"/>
      <c r="G21" s="6"/>
      <c r="H21" s="6"/>
      <c r="I21" s="6"/>
      <c r="J21" s="6"/>
    </row>
    <row r="22" customFormat="false" ht="12.8" hidden="false" customHeight="false" outlineLevel="0" collapsed="false">
      <c r="B22" s="3" t="s">
        <v>15</v>
      </c>
      <c r="C22" s="3"/>
      <c r="D22" s="3"/>
      <c r="E22" s="3"/>
      <c r="F22" s="3"/>
      <c r="G22" s="3"/>
      <c r="H22" s="3"/>
      <c r="I22" s="3"/>
      <c r="J22" s="3"/>
    </row>
    <row r="23" customFormat="false" ht="12.8" hidden="false" customHeight="false" outlineLevel="0" collapsed="false">
      <c r="B23" s="4" t="s">
        <v>4</v>
      </c>
      <c r="C23" s="4" t="n">
        <v>-8</v>
      </c>
      <c r="D23" s="4" t="n">
        <v>-4</v>
      </c>
      <c r="E23" s="4" t="n">
        <v>-1</v>
      </c>
      <c r="F23" s="4" t="n">
        <v>-0.1</v>
      </c>
      <c r="G23" s="4" t="n">
        <v>0.1</v>
      </c>
      <c r="H23" s="4" t="n">
        <v>1</v>
      </c>
      <c r="I23" s="4" t="n">
        <v>4</v>
      </c>
      <c r="J23" s="4" t="n">
        <v>8</v>
      </c>
    </row>
    <row r="24" customFormat="false" ht="12.8" hidden="false" customHeight="false" outlineLevel="0" collapsed="false">
      <c r="B24" s="4" t="s">
        <v>5</v>
      </c>
      <c r="C24" s="4" t="n">
        <v>-8.2</v>
      </c>
      <c r="D24" s="4" t="n">
        <v>-4.155</v>
      </c>
      <c r="E24" s="4" t="n">
        <v>-1.084</v>
      </c>
      <c r="F24" s="4" t="n">
        <v>-0.236</v>
      </c>
      <c r="G24" s="6" t="n">
        <v>0.111</v>
      </c>
      <c r="H24" s="4" t="n">
        <v>0.91</v>
      </c>
      <c r="I24" s="4" t="n">
        <v>4.004</v>
      </c>
      <c r="J24" s="4" t="n">
        <v>7.9</v>
      </c>
    </row>
    <row r="25" customFormat="false" ht="12.8" hidden="false" customHeight="false" outlineLevel="0" collapsed="false">
      <c r="B25" s="4" t="s">
        <v>7</v>
      </c>
      <c r="C25" s="4" t="n">
        <v>0.678</v>
      </c>
      <c r="D25" s="4" t="n">
        <v>0.235</v>
      </c>
      <c r="E25" s="4" t="n">
        <v>0.042</v>
      </c>
      <c r="F25" s="4" t="n">
        <v>0.037</v>
      </c>
      <c r="G25" s="4" t="n">
        <v>0.026</v>
      </c>
      <c r="H25" s="4" t="n">
        <v>0.052</v>
      </c>
      <c r="I25" s="4" t="n">
        <v>0.287</v>
      </c>
      <c r="J25" s="4" t="n">
        <v>0.62</v>
      </c>
      <c r="K25" s="0"/>
      <c r="L25" s="0"/>
    </row>
    <row r="26" customFormat="false" ht="12.8" hidden="false" customHeight="false" outlineLevel="0" collapsed="false">
      <c r="B26" s="4" t="s">
        <v>8</v>
      </c>
      <c r="C26" s="4" t="n">
        <f aca="false">ABS(C25/C24*100)</f>
        <v>8.26829268292683</v>
      </c>
      <c r="D26" s="4" t="n">
        <f aca="false">ABS(D25/D24*100)</f>
        <v>5.65583634175692</v>
      </c>
      <c r="E26" s="4" t="n">
        <f aca="false">ABS(E25/E24*100)</f>
        <v>3.87453874538745</v>
      </c>
      <c r="F26" s="4" t="n">
        <f aca="false">ABS(F25/F24*100)</f>
        <v>15.6779661016949</v>
      </c>
      <c r="G26" s="4" t="n">
        <f aca="false">ABS(G25/G24*100)</f>
        <v>23.4234234234234</v>
      </c>
      <c r="H26" s="4" t="n">
        <f aca="false">ABS(H25/H24*100)</f>
        <v>5.71428571428571</v>
      </c>
      <c r="I26" s="4" t="n">
        <f aca="false">ABS(I25/I24*100)</f>
        <v>7.16783216783217</v>
      </c>
      <c r="J26" s="4" t="n">
        <f aca="false">ABS(J25/J24*100)</f>
        <v>7.84810126582279</v>
      </c>
      <c r="K26" s="0"/>
      <c r="L26" s="0"/>
    </row>
    <row r="27" customFormat="false" ht="12.8" hidden="false" customHeight="false" outlineLevel="0" collapsed="false">
      <c r="B27" s="4" t="s">
        <v>11</v>
      </c>
      <c r="C27" s="4" t="n">
        <f aca="false">SQRT(C24^2+C25^2)</f>
        <v>8.22798176954714</v>
      </c>
      <c r="D27" s="4" t="n">
        <f aca="false">SQRT(D24^2+D25^2)</f>
        <v>4.16164030161185</v>
      </c>
      <c r="E27" s="4" t="n">
        <f aca="false">SQRT(E24^2+E25^2)</f>
        <v>1.08481334800048</v>
      </c>
      <c r="F27" s="4" t="n">
        <f aca="false">SQRT(F24^2+F25^2)</f>
        <v>0.238882816460289</v>
      </c>
      <c r="G27" s="4" t="n">
        <f aca="false">SQRT(G24^2+G25^2)</f>
        <v>0.114004385880544</v>
      </c>
      <c r="H27" s="4" t="n">
        <f aca="false">SQRT(H24^2+H25^2)</f>
        <v>0.911484503433822</v>
      </c>
      <c r="I27" s="4" t="n">
        <f aca="false">SQRT(I24^2+I25^2)</f>
        <v>4.0142726613921</v>
      </c>
      <c r="J27" s="4" t="n">
        <f aca="false">SQRT(J24^2+J25^2)</f>
        <v>7.9242917664609</v>
      </c>
      <c r="K27" s="0"/>
      <c r="L27" s="0"/>
      <c r="M27" s="2"/>
    </row>
    <row r="28" customFormat="false" ht="12.8" hidden="false" customHeight="false" outlineLevel="0" collapsed="false"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2"/>
    </row>
    <row r="29" customFormat="false" ht="12.8" hidden="false" customHeight="false" outlineLevel="0" collapsed="false"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 customFormat="false" ht="12.8" hidden="false" customHeight="false" outlineLevel="0" collapsed="false"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</row>
    <row r="31" customFormat="false" ht="12.8" hidden="false" customHeight="false" outlineLevel="0" collapsed="false"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</row>
    <row r="32" customFormat="false" ht="12.8" hidden="false" customHeight="false" outlineLevel="0" collapsed="false"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</row>
    <row r="33" customFormat="false" ht="12.8" hidden="false" customHeight="false" outlineLevel="0" collapsed="false"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</row>
    <row r="34" customFormat="false" ht="12.8" hidden="false" customHeight="false" outlineLevel="0" collapsed="false"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</row>
    <row r="35" customFormat="false" ht="12.8" hidden="false" customHeight="false" outlineLevel="0" collapsed="false"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 customFormat="false" ht="12.8" hidden="false" customHeight="false" outlineLevel="0" collapsed="false">
      <c r="B36" s="0"/>
      <c r="C36" s="0"/>
      <c r="D36" s="0"/>
      <c r="E36" s="0"/>
      <c r="F36" s="0"/>
      <c r="G36" s="0"/>
      <c r="H36" s="0"/>
      <c r="I36" s="0"/>
      <c r="J36" s="0"/>
    </row>
    <row r="37" customFormat="false" ht="12.8" hidden="false" customHeight="false" outlineLevel="0" collapsed="false"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 customFormat="false" ht="12.8" hidden="false" customHeight="false" outlineLevel="0" collapsed="false"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</row>
    <row r="39" customFormat="false" ht="12.8" hidden="false" customHeight="false" outlineLevel="0" collapsed="false">
      <c r="H39" s="0"/>
      <c r="I39" s="0"/>
      <c r="J39" s="0"/>
      <c r="K39" s="0"/>
      <c r="L39" s="0"/>
      <c r="M39" s="0"/>
      <c r="N39" s="0"/>
    </row>
    <row r="40" customFormat="false" ht="12.8" hidden="false" customHeight="false" outlineLevel="0" collapsed="false">
      <c r="A40" s="7" t="s">
        <v>16</v>
      </c>
      <c r="B40" s="7"/>
      <c r="C40" s="7"/>
      <c r="D40" s="7"/>
      <c r="E40" s="7"/>
      <c r="F40" s="7"/>
      <c r="G40" s="0"/>
      <c r="H40" s="7" t="s">
        <v>17</v>
      </c>
      <c r="I40" s="7"/>
      <c r="J40" s="7"/>
      <c r="K40" s="7"/>
      <c r="L40" s="7"/>
      <c r="M40" s="7"/>
      <c r="N40" s="0"/>
    </row>
    <row r="41" customFormat="false" ht="12.8" hidden="false" customHeight="false" outlineLevel="0" collapsed="false">
      <c r="A41" s="7" t="s">
        <v>18</v>
      </c>
      <c r="B41" s="7"/>
      <c r="C41" s="7"/>
      <c r="D41" s="7" t="s">
        <v>19</v>
      </c>
      <c r="E41" s="7"/>
      <c r="F41" s="7"/>
      <c r="G41" s="0"/>
      <c r="H41" s="7" t="s">
        <v>18</v>
      </c>
      <c r="I41" s="7"/>
      <c r="J41" s="7"/>
      <c r="K41" s="7" t="s">
        <v>19</v>
      </c>
      <c r="L41" s="7"/>
      <c r="M41" s="7"/>
      <c r="N41" s="0"/>
    </row>
    <row r="42" customFormat="false" ht="12.8" hidden="false" customHeight="false" outlineLevel="0" collapsed="false">
      <c r="A42" s="1" t="s">
        <v>20</v>
      </c>
      <c r="B42" s="1" t="s">
        <v>20</v>
      </c>
      <c r="C42" s="1" t="s">
        <v>5</v>
      </c>
      <c r="D42" s="1" t="s">
        <v>20</v>
      </c>
      <c r="E42" s="1" t="s">
        <v>20</v>
      </c>
      <c r="F42" s="1" t="s">
        <v>5</v>
      </c>
      <c r="G42" s="0"/>
      <c r="H42" s="1" t="s">
        <v>20</v>
      </c>
      <c r="I42" s="1" t="s">
        <v>20</v>
      </c>
      <c r="J42" s="1" t="s">
        <v>5</v>
      </c>
      <c r="K42" s="1" t="s">
        <v>20</v>
      </c>
      <c r="L42" s="1" t="s">
        <v>20</v>
      </c>
      <c r="M42" s="1" t="s">
        <v>5</v>
      </c>
      <c r="N42" s="0"/>
    </row>
    <row r="43" customFormat="false" ht="12.8" hidden="false" customHeight="false" outlineLevel="0" collapsed="false">
      <c r="A43" s="8" t="n">
        <v>3.22</v>
      </c>
      <c r="B43" s="8" t="n">
        <f aca="false">A43+C43*0.4</f>
        <v>3.674</v>
      </c>
      <c r="C43" s="8" t="n">
        <v>1.135</v>
      </c>
      <c r="D43" s="1" t="n">
        <v>7.2776</v>
      </c>
      <c r="E43" s="0" t="n">
        <f aca="false">D43+F43*0.4</f>
        <v>10.5696</v>
      </c>
      <c r="F43" s="1" t="n">
        <v>8.23</v>
      </c>
      <c r="G43" s="0"/>
      <c r="H43" s="1" t="n">
        <v>2.45</v>
      </c>
      <c r="I43" s="1" t="n">
        <f aca="false">H43+J43*0.4</f>
        <v>2.81</v>
      </c>
      <c r="J43" s="1" t="n">
        <v>0.9</v>
      </c>
      <c r="K43" s="1" t="n">
        <v>22.034</v>
      </c>
      <c r="L43" s="1" t="n">
        <f aca="false">K43+M43*0.4</f>
        <v>25.242</v>
      </c>
      <c r="M43" s="1" t="n">
        <v>8.02</v>
      </c>
      <c r="N43" s="0"/>
    </row>
    <row r="44" customFormat="false" ht="12.8" hidden="false" customHeight="false" outlineLevel="0" collapsed="false">
      <c r="A44" s="8" t="n">
        <v>2.61</v>
      </c>
      <c r="B44" s="8" t="n">
        <f aca="false">A44+C44*0.4</f>
        <v>3.0792</v>
      </c>
      <c r="C44" s="8" t="n">
        <v>1.173</v>
      </c>
      <c r="D44" s="2" t="n">
        <v>5.872</v>
      </c>
      <c r="E44" s="0" t="n">
        <f aca="false">D44+F44*0.4</f>
        <v>9.312</v>
      </c>
      <c r="F44" s="2" t="n">
        <v>8.6</v>
      </c>
      <c r="G44" s="0"/>
      <c r="H44" s="1" t="n">
        <v>2.046</v>
      </c>
      <c r="I44" s="1" t="n">
        <f aca="false">H44+J44*0.4</f>
        <v>2.406</v>
      </c>
      <c r="J44" s="1" t="n">
        <v>0.9</v>
      </c>
      <c r="K44" s="1" t="n">
        <v>17.633</v>
      </c>
      <c r="L44" s="1" t="n">
        <f aca="false">K44+M44*0.4</f>
        <v>20.853</v>
      </c>
      <c r="M44" s="1" t="n">
        <v>8.05</v>
      </c>
      <c r="N44" s="0"/>
    </row>
    <row r="45" customFormat="false" ht="12.8" hidden="false" customHeight="false" outlineLevel="0" collapsed="false">
      <c r="A45" s="8" t="n">
        <v>1.9552</v>
      </c>
      <c r="B45" s="8" t="n">
        <f aca="false">A45+C45*0.4</f>
        <v>2.4452</v>
      </c>
      <c r="C45" s="8" t="n">
        <v>1.225</v>
      </c>
      <c r="D45" s="1" t="n">
        <v>5.376</v>
      </c>
      <c r="E45" s="0" t="n">
        <f aca="false">D45+F45*0.4</f>
        <v>8.852</v>
      </c>
      <c r="F45" s="1" t="n">
        <v>8.69</v>
      </c>
      <c r="G45" s="0"/>
      <c r="H45" s="1" t="n">
        <v>1.61</v>
      </c>
      <c r="I45" s="1" t="n">
        <f aca="false">H45+J45*0.4</f>
        <v>1.974</v>
      </c>
      <c r="J45" s="1" t="n">
        <v>0.91</v>
      </c>
      <c r="K45" s="1" t="n">
        <v>14.442</v>
      </c>
      <c r="L45" s="1" t="n">
        <f aca="false">K45+M45*0.4</f>
        <v>17.678</v>
      </c>
      <c r="M45" s="1" t="n">
        <v>8.09</v>
      </c>
      <c r="N45" s="0"/>
    </row>
    <row r="46" customFormat="false" ht="12.8" hidden="false" customHeight="false" outlineLevel="0" collapsed="false">
      <c r="A46" s="2" t="n">
        <v>1.24</v>
      </c>
      <c r="B46" s="8" t="n">
        <f aca="false">A46+C46*0.4</f>
        <v>1.7472</v>
      </c>
      <c r="C46" s="2" t="n">
        <v>1.268</v>
      </c>
      <c r="D46" s="2" t="n">
        <v>4.5</v>
      </c>
      <c r="E46" s="0" t="n">
        <f aca="false">D46+F46*0.4</f>
        <v>8.024</v>
      </c>
      <c r="F46" s="2" t="n">
        <v>8.81</v>
      </c>
      <c r="G46" s="0"/>
      <c r="H46" s="2" t="n">
        <v>1.29</v>
      </c>
      <c r="I46" s="1" t="n">
        <f aca="false">H46+J46*0.4</f>
        <v>1.658</v>
      </c>
      <c r="J46" s="2" t="n">
        <v>0.92</v>
      </c>
      <c r="K46" s="1" t="n">
        <v>11.469</v>
      </c>
      <c r="L46" s="1" t="n">
        <f aca="false">K46+M46*0.4</f>
        <v>14.785</v>
      </c>
      <c r="M46" s="1" t="n">
        <v>8.29</v>
      </c>
      <c r="N46" s="0"/>
    </row>
    <row r="47" customFormat="false" ht="12.8" hidden="false" customHeight="false" outlineLevel="0" collapsed="false">
      <c r="A47" s="1" t="n">
        <v>0.75</v>
      </c>
      <c r="B47" s="8" t="n">
        <f aca="false">A47+C47*0.4</f>
        <v>1.276</v>
      </c>
      <c r="C47" s="1" t="n">
        <v>1.315</v>
      </c>
      <c r="D47" s="2" t="n">
        <v>3.4</v>
      </c>
      <c r="E47" s="0" t="n">
        <f aca="false">D47+F47*0.4</f>
        <v>6.956</v>
      </c>
      <c r="F47" s="2" t="n">
        <v>8.89</v>
      </c>
      <c r="G47" s="0"/>
      <c r="H47" s="2" t="n">
        <v>0.9628</v>
      </c>
      <c r="I47" s="1" t="n">
        <f aca="false">H47+J47*0.4</f>
        <v>1.3396</v>
      </c>
      <c r="J47" s="2" t="n">
        <v>0.942</v>
      </c>
      <c r="K47" s="1" t="n">
        <v>8.6</v>
      </c>
      <c r="L47" s="1" t="n">
        <f aca="false">K47+M47*0.4</f>
        <v>12.02</v>
      </c>
      <c r="M47" s="1" t="n">
        <v>8.55</v>
      </c>
      <c r="N47" s="0"/>
    </row>
    <row r="48" customFormat="false" ht="12.8" hidden="false" customHeight="false" outlineLevel="0" collapsed="false">
      <c r="A48" s="1" t="n">
        <v>0.4</v>
      </c>
      <c r="B48" s="8" t="n">
        <f aca="false">A48+C48*0.4</f>
        <v>0.9424</v>
      </c>
      <c r="C48" s="1" t="n">
        <v>1.356</v>
      </c>
      <c r="D48" s="1" t="n">
        <v>1.558</v>
      </c>
      <c r="E48" s="0" t="n">
        <f aca="false">D48+F48*0.4</f>
        <v>5.182</v>
      </c>
      <c r="F48" s="1" t="n">
        <v>9.06</v>
      </c>
      <c r="G48" s="0"/>
      <c r="H48" s="2" t="n">
        <v>0.5598</v>
      </c>
      <c r="I48" s="1" t="n">
        <f aca="false">H48+J48*0.4</f>
        <v>0.9366</v>
      </c>
      <c r="J48" s="2" t="n">
        <v>0.942</v>
      </c>
      <c r="K48" s="1" t="n">
        <v>5.798</v>
      </c>
      <c r="L48" s="1" t="n">
        <f aca="false">K48+M48*0.4</f>
        <v>9.362</v>
      </c>
      <c r="M48" s="1" t="n">
        <v>8.91</v>
      </c>
    </row>
    <row r="49" customFormat="false" ht="12.8" hidden="false" customHeight="false" outlineLevel="0" collapsed="false">
      <c r="A49" s="1" t="n">
        <v>0.1</v>
      </c>
      <c r="B49" s="8" t="n">
        <f aca="false">A49+C49*0.4</f>
        <v>0.6492</v>
      </c>
      <c r="C49" s="1" t="n">
        <v>1.373</v>
      </c>
      <c r="D49" s="1" t="n">
        <v>0.9254</v>
      </c>
      <c r="E49" s="0" t="n">
        <f aca="false">D49+F49*0.4</f>
        <v>4.5734</v>
      </c>
      <c r="F49" s="1" t="n">
        <v>9.12</v>
      </c>
      <c r="G49" s="0"/>
      <c r="H49" s="1" t="n">
        <v>0.1444</v>
      </c>
      <c r="I49" s="1" t="n">
        <f aca="false">H49+J49*0.4</f>
        <v>0.5276</v>
      </c>
      <c r="J49" s="1" t="n">
        <v>0.958</v>
      </c>
      <c r="K49" s="1" t="n">
        <v>1.4188</v>
      </c>
      <c r="L49" s="1" t="n">
        <f aca="false">K49+M49*0.4</f>
        <v>5.1668</v>
      </c>
      <c r="M49" s="1" t="n">
        <v>9.37</v>
      </c>
    </row>
    <row r="50" customFormat="false" ht="12.8" hidden="false" customHeight="false" outlineLevel="0" collapsed="false">
      <c r="A50" s="1" t="n">
        <v>0.0717</v>
      </c>
      <c r="B50" s="8" t="n">
        <f aca="false">A50+C50*0.4</f>
        <v>0.6185</v>
      </c>
      <c r="C50" s="1" t="n">
        <v>1.367</v>
      </c>
      <c r="D50" s="1" t="n">
        <v>0.4839</v>
      </c>
      <c r="E50" s="0" t="n">
        <f aca="false">D50+F50*0.4</f>
        <v>4.1519</v>
      </c>
      <c r="F50" s="1" t="n">
        <v>9.17</v>
      </c>
      <c r="G50" s="0"/>
      <c r="H50" s="1" t="n">
        <v>0.042</v>
      </c>
      <c r="I50" s="1" t="n">
        <f aca="false">H50+J50*0.4</f>
        <v>0.4224</v>
      </c>
      <c r="J50" s="1" t="n">
        <v>0.951</v>
      </c>
      <c r="K50" s="1" t="n">
        <v>0.4</v>
      </c>
      <c r="L50" s="1" t="n">
        <f aca="false">K50+M50*0.4</f>
        <v>4.184</v>
      </c>
      <c r="M50" s="1" t="n">
        <v>9.46</v>
      </c>
    </row>
  </sheetData>
  <mergeCells count="9">
    <mergeCell ref="B8:J8"/>
    <mergeCell ref="B15:J15"/>
    <mergeCell ref="B22:J22"/>
    <mergeCell ref="A40:F40"/>
    <mergeCell ref="H40:M40"/>
    <mergeCell ref="A41:C41"/>
    <mergeCell ref="D41:F41"/>
    <mergeCell ref="H41:J41"/>
    <mergeCell ref="K41:M4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N4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12" activeCellId="0" sqref="J12"/>
    </sheetView>
  </sheetViews>
  <sheetFormatPr defaultColWidth="8.94140625" defaultRowHeight="12.8" zeroHeight="false" outlineLevelRow="0" outlineLevelCol="0"/>
  <cols>
    <col collapsed="false" customWidth="false" hidden="false" outlineLevel="0" max="2" min="1" style="6" width="8.93"/>
    <col collapsed="false" customWidth="true" hidden="false" outlineLevel="0" max="3" min="3" style="6" width="17.47"/>
    <col collapsed="false" customWidth="false" hidden="false" outlineLevel="0" max="12" min="4" style="6" width="8.93"/>
    <col collapsed="false" customWidth="true" hidden="false" outlineLevel="0" max="13" min="13" style="6" width="11.52"/>
    <col collapsed="false" customWidth="false" hidden="false" outlineLevel="0" max="1022" min="14" style="6" width="8.93"/>
    <col collapsed="false" customWidth="false" hidden="false" outlineLevel="0" max="1024" min="1023" style="2" width="8.93"/>
  </cols>
  <sheetData>
    <row r="3" customFormat="false" ht="12.8" hidden="false" customHeight="fals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2.8" hidden="false" customHeight="false" outlineLevel="0" collapsed="false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2.8" hidden="false" customHeight="false" outlineLevel="0" collapsed="false">
      <c r="B6" s="4"/>
      <c r="C6" s="9"/>
      <c r="D6" s="3" t="s">
        <v>21</v>
      </c>
      <c r="E6" s="3"/>
      <c r="F6" s="3"/>
      <c r="G6" s="3" t="s">
        <v>22</v>
      </c>
      <c r="H6" s="3"/>
      <c r="I6" s="3"/>
      <c r="J6" s="3" t="s">
        <v>23</v>
      </c>
      <c r="K6" s="3"/>
      <c r="L6" s="3"/>
      <c r="M6" s="4"/>
      <c r="N6" s="4"/>
    </row>
    <row r="7" customFormat="false" ht="12.8" hidden="false" customHeight="false" outlineLevel="0" collapsed="false">
      <c r="B7" s="4"/>
      <c r="C7" s="4" t="s">
        <v>24</v>
      </c>
      <c r="D7" s="4" t="n">
        <v>1</v>
      </c>
      <c r="E7" s="4" t="n">
        <v>4</v>
      </c>
      <c r="F7" s="4" t="n">
        <v>8</v>
      </c>
      <c r="G7" s="4" t="n">
        <v>1</v>
      </c>
      <c r="H7" s="4" t="n">
        <v>4</v>
      </c>
      <c r="I7" s="4" t="n">
        <v>8</v>
      </c>
      <c r="J7" s="4" t="n">
        <v>1</v>
      </c>
      <c r="K7" s="4" t="n">
        <v>4</v>
      </c>
      <c r="L7" s="4" t="n">
        <v>8</v>
      </c>
      <c r="M7" s="4"/>
      <c r="N7" s="4"/>
    </row>
    <row r="8" customFormat="false" ht="12.8" hidden="false" customHeight="false" outlineLevel="0" collapsed="false">
      <c r="B8" s="4"/>
      <c r="C8" s="3" t="s">
        <v>16</v>
      </c>
      <c r="D8" s="3"/>
      <c r="E8" s="3"/>
      <c r="F8" s="3"/>
      <c r="G8" s="3"/>
      <c r="H8" s="3"/>
      <c r="I8" s="3"/>
      <c r="J8" s="3"/>
      <c r="K8" s="3"/>
      <c r="L8" s="3"/>
      <c r="M8" s="4" t="s">
        <v>2</v>
      </c>
      <c r="N8" s="4" t="s">
        <v>25</v>
      </c>
    </row>
    <row r="9" customFormat="false" ht="12.8" hidden="false" customHeight="false" outlineLevel="0" collapsed="false">
      <c r="B9" s="4"/>
      <c r="C9" s="4" t="s">
        <v>26</v>
      </c>
      <c r="D9" s="6" t="n">
        <v>0.752</v>
      </c>
      <c r="E9" s="4" t="n">
        <v>2.939</v>
      </c>
      <c r="F9" s="4" t="n">
        <v>5.8</v>
      </c>
      <c r="G9" s="6" t="n">
        <v>1.032</v>
      </c>
      <c r="H9" s="4" t="n">
        <v>4.064</v>
      </c>
      <c r="I9" s="4" t="n">
        <v>8.11</v>
      </c>
      <c r="J9" s="6" t="n">
        <v>0.597</v>
      </c>
      <c r="K9" s="4" t="n">
        <v>2.368</v>
      </c>
      <c r="L9" s="4" t="n">
        <v>4.72</v>
      </c>
      <c r="M9" s="4"/>
      <c r="N9" s="4"/>
    </row>
    <row r="10" customFormat="false" ht="12.8" hidden="false" customHeight="false" outlineLevel="0" collapsed="false">
      <c r="B10" s="4"/>
      <c r="C10" s="4" t="s">
        <v>27</v>
      </c>
      <c r="D10" s="6" t="n">
        <v>-2.52</v>
      </c>
      <c r="E10" s="4" t="n">
        <v>9.2587</v>
      </c>
      <c r="F10" s="4" t="n">
        <v>15.0787</v>
      </c>
      <c r="G10" s="4" t="n">
        <v>-0.6095</v>
      </c>
      <c r="H10" s="4" t="n">
        <v>11.2905</v>
      </c>
      <c r="I10" s="4" t="n">
        <v>17.2905</v>
      </c>
      <c r="J10" s="4" t="n">
        <v>-4.6295</v>
      </c>
      <c r="K10" s="4" t="n">
        <v>7.305</v>
      </c>
      <c r="L10" s="4" t="n">
        <v>13.21</v>
      </c>
      <c r="M10" s="4"/>
      <c r="N10" s="4"/>
    </row>
    <row r="11" customFormat="false" ht="12.8" hidden="false" customHeight="false" outlineLevel="0" collapsed="false">
      <c r="B11" s="4"/>
      <c r="C11" s="4" t="s">
        <v>28</v>
      </c>
      <c r="D11" s="4" t="n">
        <f aca="false">10^(D10/20)</f>
        <v>0.748169500511154</v>
      </c>
      <c r="E11" s="4" t="n">
        <f aca="false">10^(E10/20)</f>
        <v>2.90358804763583</v>
      </c>
      <c r="F11" s="4" t="n">
        <f aca="false">10^(F10/20)</f>
        <v>5.67459668481256</v>
      </c>
      <c r="G11" s="4" t="n">
        <f aca="false">10^(G10/20)</f>
        <v>0.932234132507489</v>
      </c>
      <c r="H11" s="4" t="n">
        <f aca="false">10^(H10/20)</f>
        <v>3.66880813190774</v>
      </c>
      <c r="I11" s="4" t="n">
        <f aca="false">10^(I10/20)</f>
        <v>7.32023460644688</v>
      </c>
      <c r="J11" s="4" t="n">
        <f aca="false">10^(J10/20)</f>
        <v>0.586847150283981</v>
      </c>
      <c r="K11" s="4" t="n">
        <f aca="false">10^(K10/20)</f>
        <v>2.31872903359201</v>
      </c>
      <c r="L11" s="4" t="n">
        <f aca="false">10^(L10/20)</f>
        <v>4.57614734886334</v>
      </c>
      <c r="N11" s="4"/>
    </row>
    <row r="12" customFormat="false" ht="12.8" hidden="false" customHeight="false" outlineLevel="0" collapsed="false">
      <c r="B12" s="4"/>
      <c r="C12" s="4" t="s">
        <v>29</v>
      </c>
      <c r="D12" s="4" t="n">
        <f aca="false">((SQRT((D9^2-D11^2)))/D11)*100</f>
        <v>10.1320627362517</v>
      </c>
      <c r="E12" s="4" t="n">
        <f aca="false">((SQRT((E9^2-E11^2)))/E11)*100</f>
        <v>15.6654389567617</v>
      </c>
      <c r="F12" s="4" t="n">
        <f aca="false">((SQRT((F9^2-F11^2)))/F11)*100</f>
        <v>21.1391842307895</v>
      </c>
      <c r="G12" s="4" t="n">
        <f aca="false">((SQRT((G9^2-G11^2)))/G11)*100</f>
        <v>47.4856752805863</v>
      </c>
      <c r="H12" s="4" t="n">
        <f aca="false">((SQRT((H9^2-H11^2)))/H11)*100</f>
        <v>47.6483226599776</v>
      </c>
      <c r="I12" s="4" t="n">
        <f aca="false">((SQRT((I9^2-I11^2)))/I11)*100</f>
        <v>47.6881323847723</v>
      </c>
      <c r="J12" s="4" t="n">
        <f aca="false">((SQRT((J9^2-J11^2)))/J11)*100</f>
        <v>18.6817172805171</v>
      </c>
      <c r="K12" s="4" t="n">
        <f aca="false">((SQRT((K9^2-K11^2)))/K11)*100</f>
        <v>20.724328275816</v>
      </c>
      <c r="L12" s="4" t="n">
        <f aca="false">((SQRT((L9^2-L11^2)))/L11)*100</f>
        <v>25.2703021401703</v>
      </c>
      <c r="M12" s="4"/>
      <c r="N12" s="10"/>
    </row>
    <row r="13" customFormat="false" ht="12.8" hidden="false" customHeight="false" outlineLevel="0" collapsed="false">
      <c r="B13" s="4"/>
      <c r="C13" s="3" t="s">
        <v>17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10"/>
    </row>
    <row r="14" customFormat="false" ht="12.8" hidden="false" customHeight="false" outlineLevel="0" collapsed="false">
      <c r="B14" s="4"/>
      <c r="C14" s="4" t="s">
        <v>26</v>
      </c>
      <c r="D14" s="6" t="n">
        <v>0.765</v>
      </c>
      <c r="E14" s="4" t="n">
        <v>3.039</v>
      </c>
      <c r="F14" s="4" t="n">
        <v>5.78</v>
      </c>
      <c r="G14" s="6" t="n">
        <v>1.072</v>
      </c>
      <c r="H14" s="4" t="n">
        <v>4.16</v>
      </c>
      <c r="I14" s="4" t="n">
        <v>8.07</v>
      </c>
      <c r="J14" s="6" t="n">
        <v>0.634</v>
      </c>
      <c r="K14" s="4" t="n">
        <v>2.47</v>
      </c>
      <c r="L14" s="4" t="n">
        <v>4.8</v>
      </c>
      <c r="M14" s="4"/>
      <c r="N14" s="4"/>
    </row>
    <row r="15" customFormat="false" ht="12.8" hidden="false" customHeight="false" outlineLevel="0" collapsed="false">
      <c r="B15" s="4"/>
      <c r="C15" s="4" t="s">
        <v>27</v>
      </c>
      <c r="D15" s="4" t="n">
        <v>-2.5295</v>
      </c>
      <c r="E15" s="4" t="n">
        <v>9.435</v>
      </c>
      <c r="F15" s="4" t="n">
        <v>14.88</v>
      </c>
      <c r="G15" s="4" t="n">
        <v>-0.5195</v>
      </c>
      <c r="H15" s="4" t="n">
        <v>11.255</v>
      </c>
      <c r="I15" s="4" t="n">
        <v>17.01</v>
      </c>
      <c r="J15" s="4" t="n">
        <v>-4.1295</v>
      </c>
      <c r="K15" s="4" t="n">
        <v>7.58</v>
      </c>
      <c r="L15" s="4" t="n">
        <v>13.21</v>
      </c>
      <c r="M15" s="4"/>
      <c r="N15" s="4"/>
    </row>
    <row r="16" customFormat="false" ht="12.8" hidden="false" customHeight="false" outlineLevel="0" collapsed="false">
      <c r="B16" s="4"/>
      <c r="C16" s="4" t="s">
        <v>28</v>
      </c>
      <c r="D16" s="4" t="n">
        <f aca="false">10^(D15/20)</f>
        <v>0.747351653972497</v>
      </c>
      <c r="E16" s="4" t="n">
        <f aca="false">10^(E15/20)</f>
        <v>2.96312518651597</v>
      </c>
      <c r="F16" s="4" t="n">
        <f aca="false">10^(F15/20)</f>
        <v>5.54625712957911</v>
      </c>
      <c r="G16" s="4" t="n">
        <f aca="false">10^(G15/20)</f>
        <v>0.94194381760704</v>
      </c>
      <c r="H16" s="4" t="n">
        <f aca="false">10^(H15/20)</f>
        <v>3.65384398895516</v>
      </c>
      <c r="I16" s="4" t="n">
        <f aca="false">10^(I15/20)</f>
        <v>7.08761306451183</v>
      </c>
      <c r="J16" s="4" t="n">
        <f aca="false">10^(J15/20)</f>
        <v>0.621620030047983</v>
      </c>
      <c r="K16" s="4" t="n">
        <f aca="false">10^(K15/20)</f>
        <v>2.39331575640539</v>
      </c>
      <c r="L16" s="4" t="n">
        <f aca="false">10^(L15/20)</f>
        <v>4.57614734886334</v>
      </c>
      <c r="M16" s="4"/>
      <c r="N16" s="4"/>
    </row>
    <row r="17" customFormat="false" ht="12.8" hidden="false" customHeight="false" outlineLevel="0" collapsed="false">
      <c r="B17" s="4"/>
      <c r="C17" s="4" t="s">
        <v>29</v>
      </c>
      <c r="D17" s="4" t="n">
        <f aca="false">((SQRT((D14^2-D16^2)))/D16)*100</f>
        <v>21.860163102036</v>
      </c>
      <c r="E17" s="4" t="n">
        <f aca="false">((SQRT((E14^2-E16^2)))/E16)*100</f>
        <v>22.774630671133</v>
      </c>
      <c r="F17" s="4" t="n">
        <f aca="false">((SQRT((F14^2-F16^2)))/F16)*100</f>
        <v>29.336776679989</v>
      </c>
      <c r="G17" s="4" t="n">
        <f aca="false">((SQRT((G14^2-G16^2)))/G16)*100</f>
        <v>54.3330614399522</v>
      </c>
      <c r="H17" s="4" t="n">
        <f aca="false">((SQRT((H14^2-H16^2)))/H16)*100</f>
        <v>54.4282746175529</v>
      </c>
      <c r="I17" s="4" t="n">
        <f aca="false">((SQRT((I14^2-I16^2)))/I16)*100</f>
        <v>54.4448364256948</v>
      </c>
      <c r="J17" s="4" t="n">
        <f aca="false">((SQRT((J14^2-J16^2)))/J16)*100</f>
        <v>20.0569047864556</v>
      </c>
      <c r="K17" s="4" t="n">
        <f aca="false">((SQRT((K14^2-K16^2)))/K16)*100</f>
        <v>25.5163941957461</v>
      </c>
      <c r="L17" s="4" t="n">
        <f aca="false">((SQRT((L14^2-L16^2)))/L16)*100</f>
        <v>31.6587186265205</v>
      </c>
      <c r="M17" s="4"/>
      <c r="N17" s="4"/>
    </row>
    <row r="18" customFormat="false" ht="12.8" hidden="false" customHeight="false" outlineLevel="0" collapsed="false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12.8" hidden="false" customHeight="false" outlineLevel="0" collapsed="false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2.8" hidden="false" customHeight="false" outlineLevel="0" collapsed="false">
      <c r="B20" s="4"/>
      <c r="C20" s="2"/>
      <c r="D20" s="2"/>
      <c r="E20" s="2"/>
      <c r="F20" s="2"/>
      <c r="G20" s="4"/>
      <c r="H20" s="4"/>
      <c r="I20" s="4"/>
      <c r="J20" s="4"/>
      <c r="K20" s="4"/>
      <c r="L20" s="4"/>
      <c r="M20" s="4"/>
      <c r="N20" s="4" t="s">
        <v>30</v>
      </c>
    </row>
    <row r="21" customFormat="false" ht="12.8" hidden="false" customHeight="false" outlineLevel="0" collapsed="false">
      <c r="B21" s="4"/>
      <c r="C21" s="2"/>
      <c r="D21" s="2"/>
      <c r="E21" s="2"/>
      <c r="F21" s="2"/>
      <c r="M21" s="4" t="s">
        <v>31</v>
      </c>
      <c r="N21" s="4"/>
    </row>
    <row r="22" customFormat="false" ht="12.8" hidden="false" customHeight="false" outlineLevel="0" collapsed="false">
      <c r="B22" s="4"/>
      <c r="C22" s="2"/>
      <c r="D22" s="2"/>
      <c r="E22" s="2"/>
      <c r="F22" s="2"/>
      <c r="M22" s="4"/>
      <c r="N22" s="4"/>
    </row>
    <row r="23" customFormat="false" ht="12.8" hidden="false" customHeight="false" outlineLevel="0" collapsed="false">
      <c r="B23" s="4"/>
      <c r="C23" s="2"/>
      <c r="D23" s="2"/>
      <c r="E23" s="2"/>
      <c r="F23" s="2"/>
      <c r="M23" s="4"/>
      <c r="N23" s="4"/>
    </row>
    <row r="24" customFormat="false" ht="12.8" hidden="false" customHeight="false" outlineLevel="0" collapsed="false">
      <c r="C24" s="2"/>
      <c r="D24" s="2"/>
      <c r="E24" s="2"/>
      <c r="F24" s="2"/>
    </row>
    <row r="25" customFormat="false" ht="12.8" hidden="false" customHeight="false" outlineLevel="0" collapsed="false">
      <c r="C25" s="2"/>
      <c r="D25" s="2"/>
      <c r="E25" s="2"/>
      <c r="F25" s="2"/>
    </row>
    <row r="26" customFormat="false" ht="12.8" hidden="false" customHeight="false" outlineLevel="0" collapsed="false">
      <c r="C26" s="2"/>
      <c r="D26" s="2"/>
      <c r="E26" s="2"/>
      <c r="F26" s="2"/>
    </row>
    <row r="27" customFormat="false" ht="12.8" hidden="false" customHeight="false" outlineLevel="0" collapsed="false">
      <c r="C27" s="2"/>
      <c r="D27" s="2"/>
      <c r="E27" s="2"/>
      <c r="F27" s="2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C28" s="2"/>
      <c r="D28" s="2"/>
      <c r="E28" s="2"/>
      <c r="F28" s="2"/>
      <c r="G28" s="4"/>
      <c r="H28" s="4"/>
      <c r="I28" s="4"/>
      <c r="J28" s="4"/>
      <c r="K28" s="4"/>
      <c r="L28" s="4"/>
    </row>
    <row r="29" customFormat="false" ht="12.8" hidden="false" customHeight="false" outlineLevel="0" collapsed="false">
      <c r="B29" s="4"/>
      <c r="C29" s="2"/>
      <c r="D29" s="2"/>
      <c r="E29" s="2"/>
      <c r="F29" s="2"/>
      <c r="G29" s="4"/>
      <c r="H29" s="4"/>
      <c r="I29" s="4"/>
      <c r="J29" s="4"/>
      <c r="K29" s="4"/>
      <c r="L29" s="4"/>
      <c r="M29" s="4"/>
      <c r="N29" s="4"/>
    </row>
    <row r="30" customFormat="false" ht="12.8" hidden="false" customHeight="false" outlineLevel="0" collapsed="false">
      <c r="B30" s="4"/>
      <c r="C30" s="2"/>
      <c r="D30" s="2"/>
      <c r="E30" s="2"/>
      <c r="F30" s="2"/>
      <c r="G30" s="4"/>
      <c r="H30" s="4"/>
      <c r="I30" s="4"/>
      <c r="J30" s="4"/>
      <c r="K30" s="4"/>
      <c r="L30" s="4"/>
      <c r="M30" s="4"/>
      <c r="N30" s="4"/>
    </row>
    <row r="31" customFormat="false" ht="12.8" hidden="false" customHeight="false" outlineLevel="0" collapsed="false">
      <c r="C31" s="2"/>
      <c r="D31" s="2"/>
      <c r="E31" s="2"/>
      <c r="F31" s="2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C32" s="2"/>
      <c r="D32" s="2"/>
      <c r="E32" s="2"/>
      <c r="F32" s="2"/>
      <c r="G32" s="4"/>
      <c r="H32" s="4"/>
      <c r="I32" s="4"/>
      <c r="J32" s="4"/>
      <c r="K32" s="4"/>
      <c r="L32" s="4"/>
    </row>
    <row r="33" customFormat="false" ht="12.8" hidden="false" customHeight="false" outlineLevel="0" collapsed="false"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C34" s="2"/>
      <c r="D34" s="2"/>
      <c r="E34" s="2"/>
      <c r="F34" s="2"/>
      <c r="G34" s="4"/>
      <c r="H34" s="4"/>
      <c r="I34" s="4"/>
      <c r="J34" s="4"/>
      <c r="K34" s="4"/>
      <c r="L34" s="4"/>
    </row>
    <row r="35" customFormat="false" ht="12.8" hidden="false" customHeight="false" outlineLevel="0" collapsed="false">
      <c r="C35" s="2"/>
      <c r="D35" s="2"/>
      <c r="E35" s="2"/>
      <c r="F35" s="2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C36" s="2"/>
      <c r="D36" s="2"/>
      <c r="E36" s="2"/>
      <c r="F36" s="2"/>
    </row>
    <row r="37" customFormat="false" ht="12.8" hidden="false" customHeight="false" outlineLevel="0" collapsed="false">
      <c r="C37" s="2"/>
      <c r="D37" s="2"/>
      <c r="E37" s="2"/>
      <c r="F37" s="2"/>
    </row>
    <row r="38" customFormat="false" ht="12.8" hidden="false" customHeight="false" outlineLevel="0" collapsed="false">
      <c r="C38" s="2"/>
      <c r="D38" s="2"/>
      <c r="E38" s="2"/>
      <c r="F38" s="2"/>
    </row>
    <row r="39" customFormat="false" ht="12.8" hidden="false" customHeight="false" outlineLevel="0" collapsed="false">
      <c r="C39" s="2"/>
      <c r="D39" s="2"/>
      <c r="E39" s="2"/>
      <c r="F39" s="2"/>
    </row>
    <row r="40" customFormat="false" ht="12.8" hidden="false" customHeight="false" outlineLevel="0" collapsed="false">
      <c r="C40" s="2"/>
      <c r="D40" s="2"/>
      <c r="E40" s="2"/>
      <c r="F40" s="2"/>
    </row>
    <row r="41" customFormat="false" ht="12.8" hidden="false" customHeight="false" outlineLevel="0" collapsed="false">
      <c r="C41" s="2"/>
      <c r="D41" s="2"/>
      <c r="E41" s="2"/>
      <c r="F41" s="2"/>
    </row>
    <row r="42" customFormat="false" ht="12.8" hidden="false" customHeight="false" outlineLevel="0" collapsed="false">
      <c r="C42" s="2"/>
      <c r="D42" s="2"/>
      <c r="E42" s="2"/>
      <c r="F42" s="2"/>
      <c r="G42" s="4"/>
      <c r="H42" s="4"/>
      <c r="I42" s="4"/>
      <c r="J42" s="4"/>
      <c r="K42" s="4"/>
      <c r="L42" s="4"/>
    </row>
    <row r="43" customFormat="false" ht="12.8" hidden="false" customHeight="false" outlineLevel="0" collapsed="false">
      <c r="C43" s="2"/>
      <c r="D43" s="2"/>
      <c r="E43" s="2"/>
      <c r="F43" s="2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C44" s="2"/>
      <c r="D44" s="2"/>
      <c r="E44" s="2"/>
      <c r="F44" s="2"/>
      <c r="G44" s="4"/>
      <c r="H44" s="4"/>
      <c r="I44" s="4"/>
      <c r="J44" s="4"/>
      <c r="K44" s="4"/>
      <c r="L44" s="4"/>
    </row>
    <row r="45" customFormat="false" ht="12.8" hidden="false" customHeight="false" outlineLevel="0" collapsed="false">
      <c r="C45" s="2"/>
      <c r="D45" s="2"/>
      <c r="E45" s="2"/>
      <c r="F45" s="2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C46" s="2"/>
      <c r="D46" s="2"/>
      <c r="E46" s="2"/>
      <c r="F46" s="2"/>
      <c r="G46" s="4"/>
      <c r="H46" s="4"/>
      <c r="I46" s="4"/>
      <c r="J46" s="4"/>
      <c r="K46" s="4"/>
      <c r="L46" s="4"/>
    </row>
    <row r="47" customFormat="false" ht="12.8" hidden="false" customHeight="false" outlineLevel="0" collapsed="false">
      <c r="C47" s="2"/>
      <c r="D47" s="2"/>
      <c r="E47" s="2"/>
      <c r="F47" s="2"/>
      <c r="G47" s="4"/>
      <c r="H47" s="4"/>
      <c r="I47" s="4"/>
      <c r="J47" s="4"/>
      <c r="K47" s="4"/>
      <c r="L47" s="4"/>
    </row>
  </sheetData>
  <mergeCells count="5">
    <mergeCell ref="D6:F6"/>
    <mergeCell ref="G6:I6"/>
    <mergeCell ref="J6:L6"/>
    <mergeCell ref="C8:L8"/>
    <mergeCell ref="C13:L1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H5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4" activeCellId="0" sqref="B4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3.86"/>
    <col collapsed="false" customWidth="true" hidden="false" outlineLevel="0" max="3" min="3" style="0" width="10.68"/>
    <col collapsed="false" customWidth="true" hidden="false" outlineLevel="0" max="4" min="4" style="0" width="10.84"/>
    <col collapsed="false" customWidth="true" hidden="false" outlineLevel="0" max="5" min="5" style="0" width="10.68"/>
    <col collapsed="false" customWidth="true" hidden="false" outlineLevel="0" max="6" min="6" style="0" width="10.54"/>
    <col collapsed="false" customWidth="true" hidden="false" outlineLevel="0" max="7" min="7" style="0" width="10.84"/>
    <col collapsed="false" customWidth="true" hidden="false" outlineLevel="0" max="8" min="8" style="0" width="30.46"/>
  </cols>
  <sheetData>
    <row r="4" customFormat="false" ht="12.8" hidden="false" customHeight="false" outlineLevel="0" collapsed="false">
      <c r="B4" s="11" t="s">
        <v>32</v>
      </c>
      <c r="C4" s="11"/>
      <c r="D4" s="11"/>
      <c r="E4" s="11"/>
      <c r="F4" s="1"/>
      <c r="G4" s="1" t="s">
        <v>2</v>
      </c>
      <c r="H4" s="0" t="s">
        <v>33</v>
      </c>
    </row>
    <row r="5" customFormat="false" ht="12.8" hidden="false" customHeight="false" outlineLevel="0" collapsed="false">
      <c r="B5" s="11" t="s">
        <v>34</v>
      </c>
      <c r="C5" s="11"/>
      <c r="D5" s="11"/>
      <c r="E5" s="11"/>
      <c r="F5" s="1"/>
    </row>
    <row r="6" customFormat="false" ht="12.8" hidden="false" customHeight="false" outlineLevel="0" collapsed="false">
      <c r="B6" s="12" t="s">
        <v>35</v>
      </c>
      <c r="C6" s="12" t="n">
        <v>1</v>
      </c>
      <c r="D6" s="12" t="n">
        <v>4</v>
      </c>
      <c r="E6" s="12" t="n">
        <v>8</v>
      </c>
      <c r="F6" s="1"/>
      <c r="H6" s="0" t="s">
        <v>36</v>
      </c>
    </row>
    <row r="7" customFormat="false" ht="12.8" hidden="false" customHeight="false" outlineLevel="0" collapsed="false">
      <c r="B7" s="12" t="s">
        <v>37</v>
      </c>
      <c r="C7" s="12" t="n">
        <v>0.897</v>
      </c>
      <c r="D7" s="12" t="n">
        <v>3.925</v>
      </c>
      <c r="E7" s="12" t="n">
        <v>8.06</v>
      </c>
      <c r="F7" s="1"/>
    </row>
    <row r="8" customFormat="false" ht="12.8" hidden="false" customHeight="false" outlineLevel="0" collapsed="false">
      <c r="B8" s="12" t="s">
        <v>38</v>
      </c>
      <c r="C8" s="12" t="n">
        <f aca="false">C7*C7*1.2</f>
        <v>0.9655308</v>
      </c>
      <c r="D8" s="12" t="n">
        <f aca="false">D7*D7*1.2</f>
        <v>18.48675</v>
      </c>
      <c r="E8" s="12" t="n">
        <f aca="false">E7*E7*1.2</f>
        <v>77.95632</v>
      </c>
      <c r="F8" s="1"/>
    </row>
    <row r="9" customFormat="false" ht="12.8" hidden="false" customHeight="false" outlineLevel="0" collapsed="false">
      <c r="B9" s="12" t="s">
        <v>39</v>
      </c>
      <c r="C9" s="12" t="n">
        <v>1.988</v>
      </c>
      <c r="D9" s="12" t="n">
        <v>22.28</v>
      </c>
      <c r="E9" s="12" t="n">
        <v>88.8</v>
      </c>
      <c r="F9" s="1"/>
    </row>
    <row r="10" customFormat="false" ht="12.8" hidden="false" customHeight="false" outlineLevel="0" collapsed="false">
      <c r="B10" s="12" t="s">
        <v>40</v>
      </c>
      <c r="C10" s="12" t="n">
        <f aca="false">C8/C9*100</f>
        <v>48.5679476861167</v>
      </c>
      <c r="D10" s="12" t="n">
        <f aca="false">D8/D9*100</f>
        <v>82.9746409335727</v>
      </c>
      <c r="E10" s="12" t="n">
        <f aca="false">E8/E9*100</f>
        <v>87.7886486486487</v>
      </c>
      <c r="F10" s="1"/>
    </row>
    <row r="11" customFormat="false" ht="12.8" hidden="false" customHeight="false" outlineLevel="0" collapsed="false">
      <c r="B11" s="11" t="s">
        <v>41</v>
      </c>
      <c r="C11" s="11"/>
      <c r="D11" s="11"/>
      <c r="E11" s="11"/>
      <c r="F11" s="1"/>
    </row>
    <row r="12" customFormat="false" ht="12.8" hidden="false" customHeight="false" outlineLevel="0" collapsed="false">
      <c r="B12" s="12" t="s">
        <v>35</v>
      </c>
      <c r="C12" s="12" t="n">
        <v>1</v>
      </c>
      <c r="D12" s="12" t="n">
        <v>4</v>
      </c>
      <c r="E12" s="12" t="n">
        <v>8</v>
      </c>
      <c r="F12" s="1"/>
      <c r="G12" s="1"/>
    </row>
    <row r="13" customFormat="false" ht="12.8" hidden="false" customHeight="false" outlineLevel="0" collapsed="false">
      <c r="B13" s="12" t="s">
        <v>42</v>
      </c>
      <c r="C13" s="12" t="n">
        <v>0.896</v>
      </c>
      <c r="D13" s="12" t="n">
        <v>4.3</v>
      </c>
      <c r="E13" s="12" t="n">
        <v>8.36</v>
      </c>
      <c r="F13" s="1"/>
      <c r="G13" s="1"/>
    </row>
    <row r="14" customFormat="false" ht="12.8" hidden="false" customHeight="false" outlineLevel="0" collapsed="false">
      <c r="B14" s="12" t="s">
        <v>38</v>
      </c>
      <c r="C14" s="12" t="n">
        <f aca="false">C13*C13*1.2</f>
        <v>0.9633792</v>
      </c>
      <c r="D14" s="12" t="n">
        <f aca="false">D13*D13*1.2</f>
        <v>22.188</v>
      </c>
      <c r="E14" s="12" t="n">
        <f aca="false">E13*E13*1.2</f>
        <v>83.86752</v>
      </c>
      <c r="F14" s="1"/>
      <c r="G14" s="1"/>
    </row>
    <row r="15" customFormat="false" ht="12.8" hidden="false" customHeight="false" outlineLevel="0" collapsed="false">
      <c r="B15" s="12" t="s">
        <v>43</v>
      </c>
      <c r="C15" s="12" t="n">
        <v>2.333</v>
      </c>
      <c r="D15" s="12" t="n">
        <v>27</v>
      </c>
      <c r="E15" s="12" t="n">
        <v>91.5</v>
      </c>
      <c r="F15" s="1"/>
      <c r="G15" s="1"/>
    </row>
    <row r="16" customFormat="false" ht="12.8" hidden="false" customHeight="false" outlineLevel="0" collapsed="false">
      <c r="B16" s="12" t="s">
        <v>40</v>
      </c>
      <c r="C16" s="12" t="n">
        <f aca="false">C14/C15*100</f>
        <v>41.2935790827261</v>
      </c>
      <c r="D16" s="12" t="n">
        <f aca="false">D14/D15*100</f>
        <v>82.1777777777778</v>
      </c>
      <c r="E16" s="12" t="n">
        <f aca="false">E14/E15*100</f>
        <v>91.6584918032787</v>
      </c>
      <c r="F16" s="1"/>
      <c r="G16" s="1"/>
    </row>
    <row r="17" customFormat="false" ht="12.8" hidden="false" customHeight="false" outlineLevel="0" collapsed="false">
      <c r="B17" s="7"/>
      <c r="C17" s="7"/>
      <c r="D17" s="7"/>
      <c r="E17" s="7"/>
      <c r="F17" s="1"/>
      <c r="G17" s="1"/>
    </row>
    <row r="18" customFormat="false" ht="12.8" hidden="false" customHeight="false" outlineLevel="0" collapsed="false">
      <c r="B18" s="7"/>
      <c r="C18" s="7"/>
      <c r="D18" s="7"/>
      <c r="E18" s="7"/>
      <c r="F18" s="1"/>
    </row>
    <row r="19" customFormat="false" ht="12.8" hidden="false" customHeight="false" outlineLevel="0" collapsed="false">
      <c r="B19" s="1"/>
      <c r="C19" s="1"/>
      <c r="D19" s="1"/>
      <c r="E19" s="1"/>
      <c r="F19" s="1"/>
    </row>
    <row r="20" customFormat="false" ht="12.8" hidden="false" customHeight="false" outlineLevel="0" collapsed="false">
      <c r="B20" s="1"/>
      <c r="C20" s="1"/>
      <c r="D20" s="1"/>
      <c r="E20" s="1"/>
      <c r="F20" s="1"/>
    </row>
    <row r="21" customFormat="false" ht="12.8" hidden="false" customHeight="false" outlineLevel="0" collapsed="false">
      <c r="B21" s="1"/>
      <c r="C21" s="1"/>
      <c r="D21" s="1"/>
      <c r="E21" s="1"/>
      <c r="F21" s="1"/>
    </row>
    <row r="22" customFormat="false" ht="12.8" hidden="false" customHeight="false" outlineLevel="0" collapsed="false">
      <c r="B22" s="1"/>
      <c r="C22" s="1"/>
      <c r="D22" s="1"/>
      <c r="E22" s="1"/>
      <c r="F22" s="1"/>
    </row>
    <row r="23" customFormat="false" ht="12.8" hidden="false" customHeight="false" outlineLevel="0" collapsed="false">
      <c r="B23" s="7"/>
      <c r="C23" s="7"/>
      <c r="D23" s="7"/>
      <c r="E23" s="7"/>
      <c r="F23" s="1"/>
    </row>
    <row r="24" customFormat="false" ht="12.8" hidden="false" customHeight="false" outlineLevel="0" collapsed="false">
      <c r="B24" s="1"/>
      <c r="C24" s="1"/>
      <c r="D24" s="1"/>
      <c r="E24" s="1"/>
      <c r="F24" s="1"/>
      <c r="G24" s="1"/>
    </row>
    <row r="25" customFormat="false" ht="12.8" hidden="false" customHeight="false" outlineLevel="0" collapsed="false">
      <c r="B25" s="1"/>
      <c r="C25" s="1"/>
      <c r="D25" s="1"/>
      <c r="E25" s="1"/>
      <c r="F25" s="1"/>
      <c r="G25" s="1"/>
    </row>
    <row r="26" customFormat="false" ht="12.8" hidden="false" customHeight="false" outlineLevel="0" collapsed="false">
      <c r="B26" s="1"/>
      <c r="C26" s="1"/>
      <c r="D26" s="1"/>
      <c r="E26" s="1"/>
      <c r="F26" s="1"/>
      <c r="G26" s="1"/>
    </row>
    <row r="27" customFormat="false" ht="12.8" hidden="false" customHeight="false" outlineLevel="0" collapsed="false">
      <c r="B27" s="1"/>
      <c r="C27" s="1"/>
      <c r="D27" s="1"/>
      <c r="E27" s="1"/>
      <c r="F27" s="1"/>
      <c r="G27" s="1"/>
    </row>
    <row r="28" customFormat="false" ht="12.8" hidden="false" customHeight="false" outlineLevel="0" collapsed="false">
      <c r="B28" s="1"/>
      <c r="C28" s="1"/>
      <c r="D28" s="1"/>
      <c r="E28" s="1"/>
      <c r="F28" s="1"/>
      <c r="G28" s="1"/>
    </row>
    <row r="29" customFormat="false" ht="12.8" hidden="false" customHeight="false" outlineLevel="0" collapsed="false">
      <c r="B29" s="7"/>
      <c r="C29" s="7"/>
      <c r="D29" s="7"/>
      <c r="E29" s="7"/>
      <c r="F29" s="1"/>
      <c r="G29" s="1"/>
    </row>
    <row r="30" customFormat="false" ht="12.8" hidden="false" customHeight="false" outlineLevel="0" collapsed="false">
      <c r="B30" s="7"/>
      <c r="C30" s="7"/>
      <c r="D30" s="7"/>
      <c r="E30" s="7"/>
      <c r="F30" s="1"/>
    </row>
    <row r="31" customFormat="false" ht="12.8" hidden="false" customHeight="false" outlineLevel="0" collapsed="false">
      <c r="B31" s="1"/>
      <c r="C31" s="1"/>
      <c r="D31" s="1"/>
      <c r="E31" s="1"/>
      <c r="F31" s="1"/>
    </row>
    <row r="32" customFormat="false" ht="12.8" hidden="false" customHeight="false" outlineLevel="0" collapsed="false">
      <c r="B32" s="1"/>
      <c r="C32" s="1"/>
      <c r="D32" s="1"/>
      <c r="E32" s="1"/>
      <c r="F32" s="1"/>
    </row>
    <row r="33" customFormat="false" ht="12.8" hidden="false" customHeight="false" outlineLevel="0" collapsed="false">
      <c r="B33" s="1"/>
      <c r="C33" s="1"/>
      <c r="D33" s="1"/>
      <c r="E33" s="1"/>
      <c r="F33" s="1"/>
    </row>
    <row r="34" customFormat="false" ht="12.8" hidden="false" customHeight="false" outlineLevel="0" collapsed="false">
      <c r="B34" s="1"/>
      <c r="C34" s="1"/>
      <c r="D34" s="1"/>
      <c r="E34" s="1"/>
      <c r="F34" s="1"/>
    </row>
    <row r="35" customFormat="false" ht="12.8" hidden="false" customHeight="false" outlineLevel="0" collapsed="false">
      <c r="B35" s="7"/>
      <c r="C35" s="7"/>
      <c r="D35" s="7"/>
      <c r="E35" s="7"/>
      <c r="F35" s="1"/>
    </row>
    <row r="36" customFormat="false" ht="12.8" hidden="false" customHeight="false" outlineLevel="0" collapsed="false">
      <c r="B36" s="1"/>
      <c r="C36" s="1"/>
      <c r="D36" s="1"/>
      <c r="E36" s="1"/>
      <c r="F36" s="1"/>
      <c r="G36" s="1"/>
    </row>
    <row r="37" customFormat="false" ht="12.8" hidden="false" customHeight="false" outlineLevel="0" collapsed="false">
      <c r="B37" s="1"/>
      <c r="C37" s="1"/>
      <c r="D37" s="1"/>
      <c r="E37" s="1"/>
      <c r="F37" s="1"/>
      <c r="G37" s="1"/>
    </row>
    <row r="38" customFormat="false" ht="12.8" hidden="false" customHeight="false" outlineLevel="0" collapsed="false">
      <c r="B38" s="1"/>
      <c r="C38" s="1"/>
      <c r="D38" s="1"/>
      <c r="E38" s="1"/>
      <c r="F38" s="1"/>
      <c r="G38" s="1"/>
    </row>
    <row r="39" customFormat="false" ht="12.8" hidden="false" customHeight="false" outlineLevel="0" collapsed="false">
      <c r="B39" s="1"/>
      <c r="C39" s="1"/>
      <c r="D39" s="1"/>
      <c r="E39" s="1"/>
      <c r="F39" s="1"/>
      <c r="G39" s="1"/>
    </row>
    <row r="40" customFormat="false" ht="12.8" hidden="false" customHeight="false" outlineLevel="0" collapsed="false">
      <c r="B40" s="1"/>
      <c r="C40" s="1"/>
      <c r="D40" s="1"/>
      <c r="E40" s="1"/>
      <c r="F40" s="1"/>
      <c r="G40" s="1"/>
    </row>
    <row r="41" customFormat="false" ht="12.8" hidden="false" customHeight="false" outlineLevel="0" collapsed="false">
      <c r="B41" s="7"/>
      <c r="C41" s="7"/>
      <c r="D41" s="7"/>
      <c r="E41" s="7"/>
      <c r="F41" s="1"/>
      <c r="G41" s="1"/>
    </row>
    <row r="42" customFormat="false" ht="12.8" hidden="false" customHeight="false" outlineLevel="0" collapsed="false">
      <c r="B42" s="7"/>
      <c r="C42" s="7"/>
      <c r="D42" s="7"/>
      <c r="E42" s="7"/>
      <c r="F42" s="1"/>
    </row>
    <row r="43" customFormat="false" ht="12.8" hidden="false" customHeight="false" outlineLevel="0" collapsed="false">
      <c r="B43" s="1"/>
      <c r="C43" s="1"/>
      <c r="D43" s="1"/>
      <c r="E43" s="1"/>
      <c r="F43" s="1"/>
    </row>
    <row r="44" customFormat="false" ht="12.8" hidden="false" customHeight="false" outlineLevel="0" collapsed="false">
      <c r="B44" s="1"/>
      <c r="C44" s="1"/>
      <c r="D44" s="1"/>
      <c r="E44" s="1"/>
      <c r="F44" s="1"/>
    </row>
    <row r="45" customFormat="false" ht="12.8" hidden="false" customHeight="false" outlineLevel="0" collapsed="false">
      <c r="B45" s="1"/>
      <c r="C45" s="1"/>
      <c r="D45" s="1"/>
      <c r="E45" s="1"/>
      <c r="F45" s="1"/>
    </row>
    <row r="46" customFormat="false" ht="12.8" hidden="false" customHeight="false" outlineLevel="0" collapsed="false">
      <c r="B46" s="1"/>
      <c r="C46" s="1"/>
      <c r="D46" s="1"/>
      <c r="E46" s="1"/>
      <c r="F46" s="1"/>
    </row>
    <row r="47" customFormat="false" ht="12.8" hidden="false" customHeight="false" outlineLevel="0" collapsed="false">
      <c r="B47" s="7"/>
      <c r="C47" s="7"/>
      <c r="D47" s="7"/>
      <c r="E47" s="7"/>
      <c r="F47" s="1"/>
      <c r="G47" s="1"/>
    </row>
    <row r="48" customFormat="false" ht="12.8" hidden="false" customHeight="false" outlineLevel="0" collapsed="false">
      <c r="B48" s="1"/>
      <c r="C48" s="1"/>
      <c r="D48" s="1"/>
      <c r="E48" s="1"/>
      <c r="F48" s="1"/>
      <c r="G48" s="1"/>
    </row>
    <row r="49" customFormat="false" ht="12.8" hidden="false" customHeight="false" outlineLevel="0" collapsed="false">
      <c r="B49" s="1"/>
      <c r="C49" s="1"/>
      <c r="D49" s="1"/>
      <c r="E49" s="1"/>
      <c r="F49" s="1"/>
      <c r="G49" s="1"/>
    </row>
    <row r="50" customFormat="false" ht="12.8" hidden="false" customHeight="false" outlineLevel="0" collapsed="false">
      <c r="B50" s="1"/>
      <c r="C50" s="1"/>
      <c r="D50" s="1"/>
      <c r="E50" s="1"/>
      <c r="F50" s="1"/>
      <c r="G50" s="1"/>
    </row>
    <row r="51" customFormat="false" ht="12.8" hidden="false" customHeight="false" outlineLevel="0" collapsed="false">
      <c r="B51" s="1"/>
      <c r="C51" s="1"/>
      <c r="D51" s="1"/>
      <c r="E51" s="1"/>
      <c r="F51" s="1"/>
      <c r="G51" s="1"/>
    </row>
    <row r="52" customFormat="false" ht="12.8" hidden="false" customHeight="false" outlineLevel="0" collapsed="false">
      <c r="B52" s="1"/>
      <c r="C52" s="1"/>
      <c r="D52" s="1"/>
      <c r="E52" s="1"/>
      <c r="F52" s="1"/>
      <c r="G52" s="1"/>
    </row>
    <row r="53" customFormat="false" ht="12.8" hidden="false" customHeight="false" outlineLevel="0" collapsed="false">
      <c r="B53" s="2"/>
      <c r="C53" s="1"/>
      <c r="D53" s="1"/>
      <c r="E53" s="1"/>
      <c r="F53" s="1"/>
      <c r="G53" s="1"/>
    </row>
  </sheetData>
  <mergeCells count="12">
    <mergeCell ref="B4:E4"/>
    <mergeCell ref="B5:E5"/>
    <mergeCell ref="B11:E11"/>
    <mergeCell ref="B17:E17"/>
    <mergeCell ref="B18:E18"/>
    <mergeCell ref="B23:E23"/>
    <mergeCell ref="B29:E29"/>
    <mergeCell ref="B30:E30"/>
    <mergeCell ref="B35:E35"/>
    <mergeCell ref="B41:E41"/>
    <mergeCell ref="B42:E42"/>
    <mergeCell ref="B47:E47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N1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14" activeCellId="0" sqref="D14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2" width="11.52"/>
    <col collapsed="false" customWidth="true" hidden="false" outlineLevel="0" max="2" min="2" style="2" width="23.95"/>
    <col collapsed="false" customWidth="true" hidden="false" outlineLevel="0" max="5" min="3" style="2" width="15.88"/>
    <col collapsed="false" customWidth="true" hidden="false" outlineLevel="0" max="6" min="6" style="2" width="27.44"/>
    <col collapsed="false" customWidth="true" hidden="false" outlineLevel="0" max="9" min="7" style="2" width="15.88"/>
    <col collapsed="false" customWidth="false" hidden="false" outlineLevel="0" max="10" min="10" style="2" width="11.52"/>
    <col collapsed="false" customWidth="true" hidden="false" outlineLevel="0" max="11" min="11" style="2" width="28.88"/>
    <col collapsed="false" customWidth="false" hidden="false" outlineLevel="0" max="13" min="12" style="2" width="11.52"/>
    <col collapsed="false" customWidth="true" hidden="false" outlineLevel="0" max="14" min="14" style="2" width="27.44"/>
    <col collapsed="false" customWidth="false" hidden="false" outlineLevel="0" max="1024" min="15" style="2" width="11.52"/>
  </cols>
  <sheetData>
    <row r="2" customFormat="false" ht="12.8" hidden="false" customHeight="false" outlineLevel="0" collapsed="false">
      <c r="B2" s="7" t="s">
        <v>44</v>
      </c>
      <c r="C2" s="7"/>
      <c r="D2" s="7"/>
      <c r="E2" s="7"/>
      <c r="F2" s="7" t="s">
        <v>45</v>
      </c>
      <c r="G2" s="7"/>
      <c r="H2" s="7"/>
      <c r="I2" s="7"/>
      <c r="K2" s="2" t="s">
        <v>46</v>
      </c>
      <c r="M2" s="2" t="s">
        <v>47</v>
      </c>
      <c r="N2" s="2" t="s">
        <v>48</v>
      </c>
    </row>
    <row r="3" customFormat="false" ht="12.8" hidden="false" customHeight="false" outlineLevel="0" collapsed="false">
      <c r="B3" s="7" t="s">
        <v>49</v>
      </c>
      <c r="C3" s="7"/>
      <c r="D3" s="7"/>
      <c r="E3" s="7"/>
      <c r="F3" s="7" t="s">
        <v>49</v>
      </c>
      <c r="G3" s="7"/>
      <c r="H3" s="7"/>
      <c r="I3" s="7"/>
      <c r="K3" s="2" t="s">
        <v>50</v>
      </c>
    </row>
    <row r="4" customFormat="false" ht="12.8" hidden="false" customHeight="false" outlineLevel="0" collapsed="false">
      <c r="B4" s="7" t="s">
        <v>51</v>
      </c>
      <c r="C4" s="7"/>
      <c r="D4" s="7"/>
      <c r="E4" s="7"/>
      <c r="F4" s="7" t="s">
        <v>51</v>
      </c>
      <c r="G4" s="7"/>
      <c r="H4" s="7"/>
      <c r="I4" s="7"/>
    </row>
    <row r="5" customFormat="false" ht="12.8" hidden="false" customHeight="false" outlineLevel="0" collapsed="false">
      <c r="B5" s="5" t="s">
        <v>17</v>
      </c>
      <c r="C5" s="5"/>
      <c r="D5" s="7" t="s">
        <v>16</v>
      </c>
      <c r="E5" s="7"/>
      <c r="F5" s="5" t="s">
        <v>17</v>
      </c>
      <c r="G5" s="5"/>
      <c r="H5" s="7" t="s">
        <v>16</v>
      </c>
      <c r="I5" s="7"/>
      <c r="J5" s="1"/>
      <c r="K5" s="0"/>
      <c r="L5" s="0"/>
      <c r="M5" s="0"/>
      <c r="N5" s="0"/>
    </row>
    <row r="6" customFormat="false" ht="12.8" hidden="false" customHeight="false" outlineLevel="0" collapsed="false">
      <c r="B6" s="1" t="s">
        <v>18</v>
      </c>
      <c r="C6" s="1" t="s">
        <v>19</v>
      </c>
      <c r="D6" s="1" t="s">
        <v>18</v>
      </c>
      <c r="E6" s="1" t="s">
        <v>19</v>
      </c>
      <c r="F6" s="1" t="s">
        <v>18</v>
      </c>
      <c r="G6" s="1" t="s">
        <v>19</v>
      </c>
      <c r="H6" s="1" t="s">
        <v>18</v>
      </c>
      <c r="I6" s="1" t="s">
        <v>19</v>
      </c>
      <c r="J6" s="1"/>
      <c r="K6" s="0"/>
      <c r="L6" s="0"/>
      <c r="M6" s="0"/>
      <c r="N6" s="0"/>
    </row>
    <row r="11" customFormat="false" ht="12.8" hidden="false" customHeight="false" outlineLevel="0" collapsed="false">
      <c r="B11" s="13"/>
      <c r="C11" s="13"/>
      <c r="D11" s="13"/>
      <c r="E11" s="13"/>
      <c r="F11" s="13"/>
    </row>
    <row r="12" customFormat="false" ht="12.8" hidden="false" customHeight="false" outlineLevel="0" collapsed="false">
      <c r="B12" s="13"/>
      <c r="C12" s="13"/>
      <c r="D12" s="13"/>
      <c r="E12" s="13"/>
      <c r="F12" s="13"/>
      <c r="I12" s="0"/>
    </row>
    <row r="13" customFormat="false" ht="12.8" hidden="false" customHeight="false" outlineLevel="0" collapsed="false">
      <c r="F13" s="0"/>
    </row>
  </sheetData>
  <mergeCells count="10">
    <mergeCell ref="B2:E2"/>
    <mergeCell ref="F2:I2"/>
    <mergeCell ref="B3:E3"/>
    <mergeCell ref="F3:I3"/>
    <mergeCell ref="B4:E4"/>
    <mergeCell ref="F4:I4"/>
    <mergeCell ref="D5:E5"/>
    <mergeCell ref="H5:I5"/>
    <mergeCell ref="B11:F11"/>
    <mergeCell ref="B12:F1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6:M1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L15" activeCellId="0" sqref="L15"/>
    </sheetView>
  </sheetViews>
  <sheetFormatPr defaultColWidth="11.5703125" defaultRowHeight="12.8" zeroHeight="false" outlineLevelRow="0" outlineLevelCol="0"/>
  <cols>
    <col collapsed="false" customWidth="true" hidden="false" outlineLevel="0" max="3" min="3" style="0" width="18"/>
    <col collapsed="false" customWidth="true" hidden="false" outlineLevel="0" max="12" min="12" style="0" width="28.81"/>
  </cols>
  <sheetData>
    <row r="6" customFormat="false" ht="12.8" hidden="false" customHeight="false" outlineLevel="0" collapsed="false">
      <c r="C6" s="7" t="s">
        <v>32</v>
      </c>
      <c r="D6" s="7"/>
      <c r="E6" s="7"/>
      <c r="F6" s="7"/>
      <c r="G6" s="7"/>
      <c r="H6" s="7"/>
      <c r="I6" s="7"/>
      <c r="J6" s="1"/>
      <c r="K6" s="1" t="s">
        <v>2</v>
      </c>
      <c r="L6" s="1" t="s">
        <v>52</v>
      </c>
      <c r="M6" s="1"/>
    </row>
    <row r="7" customFormat="false" ht="12.8" hidden="false" customHeight="false" outlineLevel="0" collapsed="false">
      <c r="C7" s="7" t="s">
        <v>17</v>
      </c>
      <c r="D7" s="7"/>
      <c r="E7" s="7"/>
      <c r="F7" s="7"/>
      <c r="G7" s="7"/>
      <c r="H7" s="7"/>
      <c r="I7" s="7"/>
      <c r="J7" s="1"/>
      <c r="K7" s="1"/>
      <c r="L7" s="1"/>
      <c r="M7" s="1"/>
    </row>
    <row r="8" customFormat="false" ht="12.8" hidden="false" customHeight="false" outlineLevel="0" collapsed="false">
      <c r="C8" s="1" t="s">
        <v>35</v>
      </c>
      <c r="D8" s="1" t="n">
        <v>-8</v>
      </c>
      <c r="E8" s="1" t="n">
        <v>-4</v>
      </c>
      <c r="F8" s="1" t="n">
        <v>-1</v>
      </c>
      <c r="G8" s="1" t="n">
        <v>1</v>
      </c>
      <c r="H8" s="1" t="n">
        <v>4</v>
      </c>
      <c r="I8" s="1" t="n">
        <v>8</v>
      </c>
      <c r="J8" s="1"/>
      <c r="K8" s="1"/>
      <c r="L8" s="1"/>
      <c r="M8" s="1"/>
    </row>
    <row r="9" customFormat="false" ht="12.8" hidden="false" customHeight="false" outlineLevel="0" collapsed="false">
      <c r="C9" s="1" t="s">
        <v>53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12.8" hidden="false" customHeight="false" outlineLevel="0" collapsed="false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customFormat="false" ht="12.8" hidden="false" customHeight="false" outlineLevel="0" collapsed="false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mergeCells count="2">
    <mergeCell ref="C6:I6"/>
    <mergeCell ref="C7:I7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2025-04-17T08:50:13Z</dcterms:created>
  <dc:creator/>
  <dc:description/>
  <dc:language>cs-CZ</dc:language>
  <cp:lastModifiedBy/>
  <dcterms:modified xsi:type="dcterms:W3CDTF">2025-05-08T23:52:16Z</dcterms:modified>
  <cp:revision>193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